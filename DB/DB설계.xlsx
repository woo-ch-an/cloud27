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2627981009손우찬\1.일일학습일지\2.DB\"/>
    </mc:Choice>
  </mc:AlternateContent>
  <xr:revisionPtr revIDLastSave="0" documentId="13_ncr:1_{23D9648C-0F55-447A-BE8A-EA8BA2F64422}" xr6:coauthVersionLast="47" xr6:coauthVersionMax="47" xr10:uidLastSave="{00000000-0000-0000-0000-000000000000}"/>
  <bookViews>
    <workbookView xWindow="-120" yWindow="-120" windowWidth="29040" windowHeight="15840" activeTab="3" xr2:uid="{C231ECC3-DFB5-486A-8AC2-E486A1AABF8F}"/>
  </bookViews>
  <sheets>
    <sheet name="영화" sheetId="1" r:id="rId1"/>
    <sheet name="출연진" sheetId="6" r:id="rId2"/>
    <sheet name="배우" sheetId="7" r:id="rId3"/>
    <sheet name="제작" sheetId="5" r:id="rId4"/>
    <sheet name="제작진" sheetId="4" r:id="rId5"/>
    <sheet name="장르" sheetId="3" r:id="rId6"/>
    <sheet name="분류" sheetId="2" r:id="rId7"/>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 i="7" l="1"/>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2" i="7"/>
  <c r="G3" i="4"/>
  <c r="G4" i="4"/>
  <c r="G5" i="4"/>
  <c r="G6" i="4"/>
  <c r="G7" i="4"/>
  <c r="G8" i="4"/>
  <c r="G9" i="4"/>
  <c r="G10" i="4"/>
  <c r="G11" i="4"/>
  <c r="G12" i="4"/>
  <c r="G13" i="4"/>
  <c r="G14" i="4"/>
  <c r="G15" i="4"/>
  <c r="G16" i="4"/>
  <c r="G17" i="4"/>
  <c r="G18" i="4"/>
  <c r="G19" i="4"/>
  <c r="G20" i="4"/>
  <c r="G21" i="4"/>
  <c r="G22" i="4"/>
  <c r="G2" i="4"/>
  <c r="E87"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2" i="6"/>
  <c r="C3" i="4"/>
  <c r="C4" i="4"/>
  <c r="C5" i="4"/>
  <c r="C6" i="4"/>
  <c r="C7" i="4"/>
  <c r="C8" i="4"/>
  <c r="C9" i="4"/>
  <c r="C10" i="4"/>
  <c r="C11" i="4"/>
  <c r="C12" i="4"/>
  <c r="C13" i="4"/>
  <c r="C14" i="4"/>
  <c r="C15" i="4"/>
  <c r="C16" i="4"/>
  <c r="C17" i="4"/>
  <c r="C18" i="4"/>
  <c r="C19" i="4"/>
  <c r="C20" i="4"/>
  <c r="C21" i="4"/>
  <c r="C22" i="4"/>
  <c r="C2" i="4"/>
  <c r="C23" i="4" s="1"/>
  <c r="C17" i="2"/>
  <c r="C18" i="2" s="1"/>
  <c r="C3" i="2"/>
  <c r="C4" i="2"/>
  <c r="C5" i="2"/>
  <c r="C6" i="2"/>
  <c r="C7" i="2"/>
  <c r="C8" i="2"/>
  <c r="C9" i="2"/>
  <c r="C10" i="2"/>
  <c r="C11" i="2"/>
  <c r="C12" i="2"/>
  <c r="C13" i="2"/>
  <c r="C14" i="2"/>
  <c r="C15" i="2"/>
  <c r="C16" i="2"/>
  <c r="C2" i="2"/>
</calcChain>
</file>

<file path=xl/sharedStrings.xml><?xml version="1.0" encoding="utf-8"?>
<sst xmlns="http://schemas.openxmlformats.org/spreadsheetml/2006/main" count="1160" uniqueCount="689">
  <si>
    <t>포스터  URL</t>
    <phoneticPr fontId="2" type="noConversion"/>
  </si>
  <si>
    <t>케데헌 URL</t>
    <phoneticPr fontId="2" type="noConversion"/>
  </si>
  <si>
    <t>제목</t>
    <phoneticPr fontId="2" type="noConversion"/>
  </si>
  <si>
    <t>케이팝 데몬 헌터스</t>
    <phoneticPr fontId="2" type="noConversion"/>
  </si>
  <si>
    <t>관람등급</t>
    <phoneticPr fontId="2" type="noConversion"/>
  </si>
  <si>
    <t>개봉연도</t>
    <phoneticPr fontId="2" type="noConversion"/>
  </si>
  <si>
    <t>2025.10.31</t>
    <phoneticPr fontId="2" type="noConversion"/>
  </si>
  <si>
    <t>개봉국가</t>
    <phoneticPr fontId="2" type="noConversion"/>
  </si>
  <si>
    <t>KR</t>
    <phoneticPr fontId="2" type="noConversion"/>
  </si>
  <si>
    <t>판타지</t>
    <phoneticPr fontId="2" type="noConversion"/>
  </si>
  <si>
    <t>음악</t>
    <phoneticPr fontId="2" type="noConversion"/>
  </si>
  <si>
    <t>코미디</t>
    <phoneticPr fontId="2" type="noConversion"/>
  </si>
  <si>
    <t>애니메이션</t>
    <phoneticPr fontId="2" type="noConversion"/>
  </si>
  <si>
    <t>분류ID</t>
    <phoneticPr fontId="2" type="noConversion"/>
  </si>
  <si>
    <t>분류명</t>
    <phoneticPr fontId="2" type="noConversion"/>
  </si>
  <si>
    <t>영화ID</t>
    <phoneticPr fontId="2" type="noConversion"/>
  </si>
  <si>
    <t xml:space="preserve">헬프 포스터 URL  </t>
    <phoneticPr fontId="2" type="noConversion"/>
  </si>
  <si>
    <t xml:space="preserve">헬프 ! </t>
    <phoneticPr fontId="2" type="noConversion"/>
  </si>
  <si>
    <t>U</t>
    <phoneticPr fontId="2" type="noConversion"/>
  </si>
  <si>
    <t>1965.07.29</t>
    <phoneticPr fontId="2" type="noConversion"/>
  </si>
  <si>
    <t>GB</t>
    <phoneticPr fontId="2" type="noConversion"/>
  </si>
  <si>
    <t>모험</t>
    <phoneticPr fontId="2" type="noConversion"/>
  </si>
  <si>
    <t>장르ID</t>
    <phoneticPr fontId="2" type="noConversion"/>
  </si>
  <si>
    <t xml:space="preserve">상영시간 </t>
    <phoneticPr fontId="2" type="noConversion"/>
  </si>
  <si>
    <t>소개글</t>
    <phoneticPr fontId="2" type="noConversion"/>
  </si>
  <si>
    <t>They sing. They dance. They battle demons.</t>
    <phoneticPr fontId="2" type="noConversion"/>
  </si>
  <si>
    <t>Stop worrying! HELP! is on the way!</t>
    <phoneticPr fontId="2" type="noConversion"/>
  </si>
  <si>
    <t>개요</t>
    <phoneticPr fontId="2" type="noConversion"/>
  </si>
  <si>
    <t>우연히 암흑의 여왕에 바쳐지는 제물이 된 링고를 구하기 위해 비틀즈 멤버들이 고군분투한다.</t>
    <phoneticPr fontId="2" type="noConversion"/>
  </si>
  <si>
    <t>케이팝 슈퍼스타 루미, 미라, 조이. 매진을 기록하는 대형 스타디움 공연이 없을 때면 이들은 또 다른 활동에 나선다. 바로 비밀 능력을 이용해 팬들을 초자연적 위협으로부터 보호하는 것.</t>
    <phoneticPr fontId="2" type="noConversion"/>
  </si>
  <si>
    <t xml:space="preserve">제작진 이름 </t>
    <phoneticPr fontId="2" type="noConversion"/>
  </si>
  <si>
    <t>제작진 역할</t>
    <phoneticPr fontId="2" type="noConversion"/>
  </si>
  <si>
    <t>매기 강</t>
    <phoneticPr fontId="2" type="noConversion"/>
  </si>
  <si>
    <t>Director</t>
    <phoneticPr fontId="2" type="noConversion"/>
  </si>
  <si>
    <t>Screenplay</t>
    <phoneticPr fontId="2" type="noConversion"/>
  </si>
  <si>
    <t>Story</t>
    <phoneticPr fontId="2" type="noConversion"/>
  </si>
  <si>
    <t>해나 맥메찬</t>
    <phoneticPr fontId="2" type="noConversion"/>
  </si>
  <si>
    <t xml:space="preserve">케데헌2 URL </t>
    <phoneticPr fontId="2" type="noConversion"/>
  </si>
  <si>
    <t>Untitled Kpop Demon Hunters Sequel</t>
    <phoneticPr fontId="2" type="noConversion"/>
  </si>
  <si>
    <t>NULL</t>
  </si>
  <si>
    <t>NULL</t>
    <phoneticPr fontId="2" type="noConversion"/>
  </si>
  <si>
    <t>The second installment in the franchise. Plot TBA.</t>
    <phoneticPr fontId="2" type="noConversion"/>
  </si>
  <si>
    <t>가족</t>
    <phoneticPr fontId="2" type="noConversion"/>
  </si>
  <si>
    <t>제작진ID</t>
    <phoneticPr fontId="2" type="noConversion"/>
  </si>
  <si>
    <t>크리스아펠한스</t>
    <phoneticPr fontId="2" type="noConversion"/>
  </si>
  <si>
    <t>다나 히메네스</t>
    <phoneticPr fontId="2" type="noConversion"/>
  </si>
  <si>
    <t>Writer</t>
    <phoneticPr fontId="2" type="noConversion"/>
  </si>
  <si>
    <t xml:space="preserve">영화ID </t>
    <phoneticPr fontId="2" type="noConversion"/>
  </si>
  <si>
    <t>제작ID</t>
    <phoneticPr fontId="2" type="noConversion"/>
  </si>
  <si>
    <t>원제</t>
    <phoneticPr fontId="2" type="noConversion"/>
  </si>
  <si>
    <t>상태</t>
    <phoneticPr fontId="2" type="noConversion"/>
  </si>
  <si>
    <t>원어</t>
    <phoneticPr fontId="2" type="noConversion"/>
  </si>
  <si>
    <t>제작비</t>
    <phoneticPr fontId="2" type="noConversion"/>
  </si>
  <si>
    <t>수익</t>
    <phoneticPr fontId="2" type="noConversion"/>
  </si>
  <si>
    <t xml:space="preserve">KPOP Demon Hunters </t>
    <phoneticPr fontId="2" type="noConversion"/>
  </si>
  <si>
    <t>개봉됨</t>
    <phoneticPr fontId="2" type="noConversion"/>
  </si>
  <si>
    <t>영어</t>
    <phoneticPr fontId="2" type="noConversion"/>
  </si>
  <si>
    <t>HELP!</t>
    <phoneticPr fontId="2" type="noConversion"/>
  </si>
  <si>
    <t>제작 예정</t>
    <phoneticPr fontId="2" type="noConversion"/>
  </si>
  <si>
    <t>출연진ID</t>
    <phoneticPr fontId="2" type="noConversion"/>
  </si>
  <si>
    <t>출연진 역할</t>
    <phoneticPr fontId="2" type="noConversion"/>
  </si>
  <si>
    <t>배우 이름</t>
    <phoneticPr fontId="2" type="noConversion"/>
  </si>
  <si>
    <t>아덴 조</t>
    <phoneticPr fontId="2" type="noConversion"/>
  </si>
  <si>
    <t xml:space="preserve">메이 홍 </t>
    <phoneticPr fontId="2" type="noConversion"/>
  </si>
  <si>
    <t>유지영</t>
    <phoneticPr fontId="2" type="noConversion"/>
  </si>
  <si>
    <t>안효섭</t>
    <phoneticPr fontId="2" type="noConversion"/>
  </si>
  <si>
    <t>김윤진</t>
    <phoneticPr fontId="2" type="noConversion"/>
  </si>
  <si>
    <t>켄 정</t>
    <phoneticPr fontId="2" type="noConversion"/>
  </si>
  <si>
    <t xml:space="preserve">이병헌 </t>
    <phoneticPr fontId="2" type="noConversion"/>
  </si>
  <si>
    <t>다니엘 대 킴</t>
    <phoneticPr fontId="2" type="noConversion"/>
  </si>
  <si>
    <t>조엘 김 부스터</t>
    <phoneticPr fontId="2" type="noConversion"/>
  </si>
  <si>
    <t>배우ID</t>
    <phoneticPr fontId="2" type="noConversion"/>
  </si>
  <si>
    <t>Rumi (voice)</t>
    <phoneticPr fontId="2" type="noConversion"/>
  </si>
  <si>
    <t>Mira (voice)</t>
    <phoneticPr fontId="2" type="noConversion"/>
  </si>
  <si>
    <t>Zoey (voice)</t>
    <phoneticPr fontId="2" type="noConversion"/>
  </si>
  <si>
    <t>Jinu (voice)</t>
    <phoneticPr fontId="2" type="noConversion"/>
  </si>
  <si>
    <t>Celine (voice)</t>
    <phoneticPr fontId="2" type="noConversion"/>
  </si>
  <si>
    <t>Bobby (voice)</t>
    <phoneticPr fontId="2" type="noConversion"/>
  </si>
  <si>
    <t>Gwi-Ma (voice)</t>
    <phoneticPr fontId="2" type="noConversion"/>
  </si>
  <si>
    <t>Additional Voices (voice)</t>
    <phoneticPr fontId="2" type="noConversion"/>
  </si>
  <si>
    <t>Healer Han (voice)</t>
    <phoneticPr fontId="2" type="noConversion"/>
  </si>
  <si>
    <t>Variety Show Host 1 (voice)</t>
    <phoneticPr fontId="2" type="noConversion"/>
  </si>
  <si>
    <t>Idol Host (voice)</t>
    <phoneticPr fontId="2" type="noConversion"/>
  </si>
  <si>
    <t>Romance Saja (voice)</t>
    <phoneticPr fontId="2" type="noConversion"/>
  </si>
  <si>
    <t>프로필 사진</t>
    <phoneticPr fontId="2" type="noConversion"/>
  </si>
  <si>
    <t>배우사진</t>
    <phoneticPr fontId="2" type="noConversion"/>
  </si>
  <si>
    <t>조지 해리슨</t>
    <phoneticPr fontId="2" type="noConversion"/>
  </si>
  <si>
    <t>존 레논</t>
    <phoneticPr fontId="2" type="noConversion"/>
  </si>
  <si>
    <t>폴 매카트니</t>
    <phoneticPr fontId="2" type="noConversion"/>
  </si>
  <si>
    <t>링고 스타</t>
    <phoneticPr fontId="2" type="noConversion"/>
  </si>
  <si>
    <t>Leo McKern</t>
    <phoneticPr fontId="2" type="noConversion"/>
  </si>
  <si>
    <t xml:space="preserve">Eleanor Bron </t>
    <phoneticPr fontId="2" type="noConversion"/>
  </si>
  <si>
    <t>Victor Spinetti</t>
    <phoneticPr fontId="2" type="noConversion"/>
  </si>
  <si>
    <t>Roy Kinnear</t>
    <phoneticPr fontId="2" type="noConversion"/>
  </si>
  <si>
    <t>John Bluthal</t>
    <phoneticPr fontId="2" type="noConversion"/>
  </si>
  <si>
    <t>George</t>
    <phoneticPr fontId="2" type="noConversion"/>
  </si>
  <si>
    <t>John</t>
    <phoneticPr fontId="2" type="noConversion"/>
  </si>
  <si>
    <t>Paul</t>
    <phoneticPr fontId="2" type="noConversion"/>
  </si>
  <si>
    <t>Ringo</t>
    <phoneticPr fontId="2" type="noConversion"/>
  </si>
  <si>
    <t>Clang</t>
    <phoneticPr fontId="2" type="noConversion"/>
  </si>
  <si>
    <t>Ahme</t>
    <phoneticPr fontId="2" type="noConversion"/>
  </si>
  <si>
    <t>Prof.Foot</t>
    <phoneticPr fontId="2" type="noConversion"/>
  </si>
  <si>
    <t>Algernon</t>
    <phoneticPr fontId="2" type="noConversion"/>
  </si>
  <si>
    <t>Bhuta</t>
    <phoneticPr fontId="2" type="noConversion"/>
  </si>
  <si>
    <t>Marc Behm</t>
    <phoneticPr fontId="2" type="noConversion"/>
  </si>
  <si>
    <t>Richard Lester</t>
    <phoneticPr fontId="2" type="noConversion"/>
  </si>
  <si>
    <t>Charles Wood</t>
    <phoneticPr fontId="2" type="noConversion"/>
  </si>
  <si>
    <t>제작진 파트</t>
    <phoneticPr fontId="2" type="noConversion"/>
  </si>
  <si>
    <t>연출</t>
    <phoneticPr fontId="2" type="noConversion"/>
  </si>
  <si>
    <t>각본</t>
    <phoneticPr fontId="2" type="noConversion"/>
  </si>
  <si>
    <t>첸쏘맨 URL</t>
    <phoneticPr fontId="2" type="noConversion"/>
  </si>
  <si>
    <t>극장판 체인소 맨 : 레제편</t>
    <phoneticPr fontId="2" type="noConversion"/>
  </si>
  <si>
    <t>2025.09.24</t>
    <phoneticPr fontId="2" type="noConversion"/>
  </si>
  <si>
    <t xml:space="preserve">아무도 모르는, 소녀의 마음 </t>
    <phoneticPr fontId="2" type="noConversion"/>
  </si>
  <si>
    <t>일본어</t>
    <phoneticPr fontId="2" type="noConversion"/>
  </si>
  <si>
    <t>토마토 URL</t>
    <phoneticPr fontId="2" type="noConversion"/>
  </si>
  <si>
    <t>토마토 공격대</t>
    <phoneticPr fontId="2" type="noConversion"/>
  </si>
  <si>
    <t>PG</t>
    <phoneticPr fontId="2" type="noConversion"/>
  </si>
  <si>
    <t>1978.10.04</t>
    <phoneticPr fontId="2" type="noConversion"/>
  </si>
  <si>
    <t>US</t>
    <phoneticPr fontId="2" type="noConversion"/>
  </si>
  <si>
    <t>바스터즈 URL</t>
    <phoneticPr fontId="2" type="noConversion"/>
  </si>
  <si>
    <t>바스터즈: 거친 녀석들</t>
    <phoneticPr fontId="2" type="noConversion"/>
  </si>
  <si>
    <t>2009.10.28</t>
    <phoneticPr fontId="2" type="noConversion"/>
  </si>
  <si>
    <t>A new musical-comedy-horror show!</t>
    <phoneticPr fontId="2" type="noConversion"/>
  </si>
  <si>
    <t>가장 쿨한 녀석들의 통쾌한 복수</t>
    <phoneticPr fontId="2" type="noConversion"/>
  </si>
  <si>
    <t>2차 세계 대전, 나치의 잔인하고 폭력적인 행태에 분개한 미군 알도 레인 중위는 당한 만큼 돌려준다는 강렬한 신념으로 최고의 재능을 가진 8명의 대원을 모아 바스터즈란 군단을 만들어 나치가 점령한 프랑스에 잠입해 복수를 시작한다. 어느 날 알도 레인 중위는 독일의 여배우이자 영국의 더블 스파이인 브리짓에게 뜻밖의 소식을 듣는다. 나치 수뇌부가 모두 참석하는 독일 전쟁 영화의 프리미어에 히틀러도 참석을 한다는 것. 한 번에 나치를 모두 쓸어버릴 계획으로 바스터즈는 이탈리아 영화 관계자로 분장해 극장으로 향하는데...</t>
  </si>
  <si>
    <t>익스트렉션 URL</t>
    <phoneticPr fontId="2" type="noConversion"/>
  </si>
  <si>
    <t>익스트랙션</t>
    <phoneticPr fontId="2" type="noConversion"/>
  </si>
  <si>
    <t>2020.04.24</t>
    <phoneticPr fontId="2" type="noConversion"/>
  </si>
  <si>
    <t xml:space="preserve"> When the mission ends, redemption begins</t>
    <phoneticPr fontId="2" type="noConversion"/>
  </si>
  <si>
    <t>1917 URL</t>
    <phoneticPr fontId="2" type="noConversion"/>
  </si>
  <si>
    <t>2020.02.19</t>
    <phoneticPr fontId="2" type="noConversion"/>
  </si>
  <si>
    <t>그들이 싸워야 할 것은 적이 아니라 시간이었다</t>
    <phoneticPr fontId="2" type="noConversion"/>
  </si>
  <si>
    <t>제1차 세계대전이 한창인 1917년 4월 6일. 독일군에 의해 모든 통신망이 파괴된 상황 속에서 서부전선의 영국군 병사 스코필드와 블레이크에게 하나의 미션이 주어졌다. 독일군의 함정에 빠진 영국군 부대의 수장 매켄지 중령에게 에린무어 장군의 공격 중지 명령을 전달하라는 것. 블레이크는 데본셔 연대에 있는 형을 구하기 위해 기꺼이 임무를 수행한다. 동료인 스코필드는 처음엔 당황스러워하지만 이내 1600명의 동료들을 구하기 위해 전쟁터 한가운데를 가로지르는 여정에 동참한다.</t>
  </si>
  <si>
    <t xml:space="preserve">인셉션 URL </t>
    <phoneticPr fontId="2" type="noConversion"/>
  </si>
  <si>
    <t>인셉션</t>
    <phoneticPr fontId="2" type="noConversion"/>
  </si>
  <si>
    <t>2010.07.21</t>
    <phoneticPr fontId="2" type="noConversion"/>
  </si>
  <si>
    <t>생각을 훔치는 거대한 전쟁</t>
    <phoneticPr fontId="2" type="noConversion"/>
  </si>
  <si>
    <t>타인의 꿈에 들어가 생각을 훔치는 특수 보안요원 코브. 그를 이용해 라이벌 기업의 정보를 빼내고자 하는 사이토는 코브에게 생각을 훔치는 것이 아닌, 생각을 심는 ‘인셉션’ 작전을 제안한다. 성공 조건으로 국제적인 수배자가 되어있는 코브의 신분을 바꿔주겠다는 거부할 수 없는 제안을 하고, 사랑하는 아이들에게 돌아가기 위해 그 제안을 받아들인다. 최강의 팀을 구성, 표적인 피셔에게 접근해서 ‘인셉션’ 작전을 실행하지만 예기치 못한 사건들과 마주하게 되는데… 꿈 VS 현실! 시간, 규칙, 타이밍 모든 것이 완벽해야만 하는, 단 한 번도 성공한 적 없는 ‘인셉션’ 작전이 시작된다!</t>
  </si>
  <si>
    <t>Inception</t>
    <phoneticPr fontId="2" type="noConversion"/>
  </si>
  <si>
    <t xml:space="preserve">토야 키쿠노스케 </t>
    <phoneticPr fontId="2" type="noConversion"/>
  </si>
  <si>
    <t>우에다 레이나</t>
    <phoneticPr fontId="2" type="noConversion"/>
  </si>
  <si>
    <t>쿠스노키 토모리</t>
    <phoneticPr fontId="2" type="noConversion"/>
  </si>
  <si>
    <t>사카타 쇼고</t>
    <phoneticPr fontId="2" type="noConversion"/>
  </si>
  <si>
    <t>우치다 마아야</t>
    <phoneticPr fontId="2" type="noConversion"/>
  </si>
  <si>
    <t>하나에 나츠키</t>
    <phoneticPr fontId="2" type="noConversion"/>
  </si>
  <si>
    <t>타카하시 카린</t>
    <phoneticPr fontId="2" type="noConversion"/>
  </si>
  <si>
    <t>파이루즈 아이</t>
    <phoneticPr fontId="2" type="noConversion"/>
  </si>
  <si>
    <t>우치다 유우야</t>
    <phoneticPr fontId="2" type="noConversion"/>
  </si>
  <si>
    <t>Denji (voice)</t>
    <phoneticPr fontId="2" type="noConversion"/>
  </si>
  <si>
    <t>Reze (voice)</t>
    <phoneticPr fontId="2" type="noConversion"/>
  </si>
  <si>
    <t>Makima (voice)</t>
    <phoneticPr fontId="2" type="noConversion"/>
  </si>
  <si>
    <t>Aki (voice)</t>
    <phoneticPr fontId="2" type="noConversion"/>
  </si>
  <si>
    <t>Angel Devil (voice)</t>
    <phoneticPr fontId="2" type="noConversion"/>
  </si>
  <si>
    <t>Beam (voice)</t>
    <phoneticPr fontId="2" type="noConversion"/>
  </si>
  <si>
    <t>Kobeni (voice)</t>
    <phoneticPr fontId="2" type="noConversion"/>
  </si>
  <si>
    <t>Power (voice)</t>
    <phoneticPr fontId="2" type="noConversion"/>
  </si>
  <si>
    <t>The Violence Fiend (voice)</t>
    <phoneticPr fontId="2" type="noConversion"/>
  </si>
  <si>
    <t>요시하라 타츠야</t>
    <phoneticPr fontId="2" type="noConversion"/>
  </si>
  <si>
    <t>세코 히로시</t>
    <phoneticPr fontId="2" type="noConversion"/>
  </si>
  <si>
    <t>David Miller</t>
    <phoneticPr fontId="2" type="noConversion"/>
  </si>
  <si>
    <t>George Wilson</t>
    <phoneticPr fontId="2" type="noConversion"/>
  </si>
  <si>
    <t>Sharon Taylor</t>
    <phoneticPr fontId="2" type="noConversion"/>
  </si>
  <si>
    <t>J. Stephen Peace</t>
    <phoneticPr fontId="2" type="noConversion"/>
  </si>
  <si>
    <t>Ernie Meyers</t>
    <phoneticPr fontId="2" type="noConversion"/>
  </si>
  <si>
    <t>Eric Christmas</t>
    <phoneticPr fontId="2" type="noConversion"/>
  </si>
  <si>
    <t>Jack Riley</t>
    <phoneticPr fontId="2" type="noConversion"/>
  </si>
  <si>
    <t>Nigel Barber</t>
    <phoneticPr fontId="2" type="noConversion"/>
  </si>
  <si>
    <t>John De Bello</t>
    <phoneticPr fontId="2" type="noConversion"/>
  </si>
  <si>
    <t>Mason Dixon</t>
    <phoneticPr fontId="2" type="noConversion"/>
  </si>
  <si>
    <t>Jim Richardson</t>
    <phoneticPr fontId="2" type="noConversion"/>
  </si>
  <si>
    <t>Lois Fairchild</t>
    <phoneticPr fontId="2" type="noConversion"/>
  </si>
  <si>
    <t>Wilbur Finletter</t>
    <phoneticPr fontId="2" type="noConversion"/>
  </si>
  <si>
    <t>The President</t>
    <phoneticPr fontId="2" type="noConversion"/>
  </si>
  <si>
    <t>Senator Polk</t>
    <phoneticPr fontId="2" type="noConversion"/>
  </si>
  <si>
    <t>Salesman</t>
    <phoneticPr fontId="2" type="noConversion"/>
  </si>
  <si>
    <t>Guard at Gate</t>
    <phoneticPr fontId="2" type="noConversion"/>
  </si>
  <si>
    <t>Janitor</t>
    <phoneticPr fontId="2" type="noConversion"/>
  </si>
  <si>
    <t>Charles White</t>
    <phoneticPr fontId="2" type="noConversion"/>
  </si>
  <si>
    <t>Costa Dillon</t>
    <phoneticPr fontId="2" type="noConversion"/>
  </si>
  <si>
    <t>Rick Rockwell</t>
    <phoneticPr fontId="2" type="noConversion"/>
  </si>
  <si>
    <t>브래드 피트</t>
    <phoneticPr fontId="2" type="noConversion"/>
  </si>
  <si>
    <t>멜라니 로랑</t>
    <phoneticPr fontId="2" type="noConversion"/>
  </si>
  <si>
    <t>크리스토프 발츠</t>
    <phoneticPr fontId="2" type="noConversion"/>
  </si>
  <si>
    <t>일라이 로스</t>
    <phoneticPr fontId="2" type="noConversion"/>
  </si>
  <si>
    <t>마이클 패스벤더</t>
    <phoneticPr fontId="2" type="noConversion"/>
  </si>
  <si>
    <t>다이앤 크루거</t>
    <phoneticPr fontId="2" type="noConversion"/>
  </si>
  <si>
    <t>다니엘 브륄</t>
    <phoneticPr fontId="2" type="noConversion"/>
  </si>
  <si>
    <t>틸 슈바이거</t>
    <phoneticPr fontId="2" type="noConversion"/>
  </si>
  <si>
    <t>Gedeon Burkhard</t>
    <phoneticPr fontId="2" type="noConversion"/>
  </si>
  <si>
    <t>LT.Aldo Raine</t>
    <phoneticPr fontId="2" type="noConversion"/>
  </si>
  <si>
    <t>Shosanna</t>
    <phoneticPr fontId="2" type="noConversion"/>
  </si>
  <si>
    <t>COL. Hans Landa</t>
    <phoneticPr fontId="2" type="noConversion"/>
  </si>
  <si>
    <t>SGT.Donny Donowitz</t>
    <phoneticPr fontId="2" type="noConversion"/>
  </si>
  <si>
    <t>LT.Archie Hicox</t>
    <phoneticPr fontId="2" type="noConversion"/>
  </si>
  <si>
    <t>Bridget von Hammersmark</t>
    <phoneticPr fontId="2" type="noConversion"/>
  </si>
  <si>
    <t>Fredrick Zoller</t>
    <phoneticPr fontId="2" type="noConversion"/>
  </si>
  <si>
    <t>SGT. Hugo Stiglitz</t>
    <phoneticPr fontId="2" type="noConversion"/>
  </si>
  <si>
    <t>CPL. Wilhelm Wicki</t>
    <phoneticPr fontId="2" type="noConversion"/>
  </si>
  <si>
    <t>크리스 햄스워스</t>
    <phoneticPr fontId="2" type="noConversion"/>
  </si>
  <si>
    <t>Rudhraksh Jaiswal</t>
    <phoneticPr fontId="2" type="noConversion"/>
  </si>
  <si>
    <t>Randeep hooda</t>
    <phoneticPr fontId="2" type="noConversion"/>
  </si>
  <si>
    <t>골쉬프테 파라하니</t>
    <phoneticPr fontId="2" type="noConversion"/>
  </si>
  <si>
    <t>Pankaj Tripathi</t>
    <phoneticPr fontId="2" type="noConversion"/>
  </si>
  <si>
    <t>데이비드 하버</t>
    <phoneticPr fontId="2" type="noConversion"/>
  </si>
  <si>
    <t>Bryon Lerum</t>
    <phoneticPr fontId="2" type="noConversion"/>
  </si>
  <si>
    <t>Ryder Lerum</t>
    <phoneticPr fontId="2" type="noConversion"/>
  </si>
  <si>
    <t>Shivam Vichare</t>
    <phoneticPr fontId="2" type="noConversion"/>
  </si>
  <si>
    <t>Tyler Rake</t>
    <phoneticPr fontId="2" type="noConversion"/>
  </si>
  <si>
    <t>Ovi Mahajan</t>
    <phoneticPr fontId="2" type="noConversion"/>
  </si>
  <si>
    <t>Saju</t>
    <phoneticPr fontId="2" type="noConversion"/>
  </si>
  <si>
    <t>Nik Khan</t>
    <phoneticPr fontId="2" type="noConversion"/>
  </si>
  <si>
    <t>Ovi Mahajan Sr.</t>
    <phoneticPr fontId="2" type="noConversion"/>
  </si>
  <si>
    <t>Gaspar</t>
    <phoneticPr fontId="2" type="noConversion"/>
  </si>
  <si>
    <t>Rake's Son</t>
    <phoneticPr fontId="2" type="noConversion"/>
  </si>
  <si>
    <t>Sachin</t>
    <phoneticPr fontId="2" type="noConversion"/>
  </si>
  <si>
    <t>존 윅 URL</t>
    <phoneticPr fontId="2" type="noConversion"/>
  </si>
  <si>
    <t>존 윅</t>
    <phoneticPr fontId="2" type="noConversion"/>
  </si>
  <si>
    <t>2015.01.21</t>
    <phoneticPr fontId="2" type="noConversion"/>
  </si>
  <si>
    <t>그를 건드리지 말았어야 했다</t>
    <phoneticPr fontId="2" type="noConversion"/>
  </si>
  <si>
    <t>전설이라 불리던 킬러 존 윅은 사랑하는 여인을 만나 결혼을 하면서 범죄의 세계에서 은퇴한다. 행복도 잠시, 투병 끝에 부인이 세상을 떠나고 그의 앞으로 부인이 죽기 전에 보낸 강아지 한 마리가 선물로 배달된다. 어느 날 그의 차를 탐낸 러시아 마피아의 일원 요세프가 존 윅을 폭행하고 애완견 데이지마저 죽여버리는 일이 벌어진다. 그런데 요세프는 과거 존 윅을 고용한 적 있는 러시아 마피아 보스 비고의 아들이다. 마지막 남은 애완견마저 잃은 존 윅은 이제 그만의 방식으로 복수를 시작하는데...</t>
  </si>
  <si>
    <t>John Wick</t>
  </si>
  <si>
    <t>Krysty Wilson-Cairns</t>
    <phoneticPr fontId="2" type="noConversion"/>
  </si>
  <si>
    <t>샘 멘데스</t>
    <phoneticPr fontId="2" type="noConversion"/>
  </si>
  <si>
    <t xml:space="preserve">조지 맥케이 </t>
    <phoneticPr fontId="2" type="noConversion"/>
  </si>
  <si>
    <t>딘-찰스 채프먼</t>
    <phoneticPr fontId="2" type="noConversion"/>
  </si>
  <si>
    <t>마크 스트롱</t>
    <phoneticPr fontId="2" type="noConversion"/>
  </si>
  <si>
    <t>앤드류 스콧</t>
    <phoneticPr fontId="2" type="noConversion"/>
  </si>
  <si>
    <t>리차드 매든</t>
    <phoneticPr fontId="2" type="noConversion"/>
  </si>
  <si>
    <t>클레어 듀버크</t>
    <phoneticPr fontId="2" type="noConversion"/>
  </si>
  <si>
    <t>콜린 퍼스</t>
    <phoneticPr fontId="2" type="noConversion"/>
  </si>
  <si>
    <t>베네딕트 컴버배치</t>
    <phoneticPr fontId="2" type="noConversion"/>
  </si>
  <si>
    <t>다니엘 메이스</t>
    <phoneticPr fontId="2" type="noConversion"/>
  </si>
  <si>
    <t>Lance Corporal Schofield</t>
    <phoneticPr fontId="2" type="noConversion"/>
  </si>
  <si>
    <t>Lance Corporal Blake</t>
    <phoneticPr fontId="2" type="noConversion"/>
  </si>
  <si>
    <t>Captain Smith</t>
    <phoneticPr fontId="2" type="noConversion"/>
  </si>
  <si>
    <t>Lieutanant Leslie</t>
    <phoneticPr fontId="2" type="noConversion"/>
  </si>
  <si>
    <t>Lieutanant Blake</t>
    <phoneticPr fontId="2" type="noConversion"/>
  </si>
  <si>
    <t>Lauri</t>
    <phoneticPr fontId="2" type="noConversion"/>
  </si>
  <si>
    <t>General Erinmore</t>
    <phoneticPr fontId="2" type="noConversion"/>
  </si>
  <si>
    <t>Colonel Mackenzie</t>
    <phoneticPr fontId="2" type="noConversion"/>
  </si>
  <si>
    <t>Sergeant Sanders</t>
    <phoneticPr fontId="2" type="noConversion"/>
  </si>
  <si>
    <t>크리스토퍼 놀란</t>
    <phoneticPr fontId="2" type="noConversion"/>
  </si>
  <si>
    <t>레오나르도 디카프리오</t>
    <phoneticPr fontId="2" type="noConversion"/>
  </si>
  <si>
    <t>조셉 고든레빗</t>
    <phoneticPr fontId="2" type="noConversion"/>
  </si>
  <si>
    <t>와타나베 켄</t>
    <phoneticPr fontId="2" type="noConversion"/>
  </si>
  <si>
    <t>톰 하디</t>
    <phoneticPr fontId="2" type="noConversion"/>
  </si>
  <si>
    <t>엘리엇 페이지</t>
    <phoneticPr fontId="2" type="noConversion"/>
  </si>
  <si>
    <t xml:space="preserve">딜립 라오 </t>
    <phoneticPr fontId="2" type="noConversion"/>
  </si>
  <si>
    <t>킬리언 머피</t>
    <phoneticPr fontId="2" type="noConversion"/>
  </si>
  <si>
    <t>톰 베렌저</t>
    <phoneticPr fontId="2" type="noConversion"/>
  </si>
  <si>
    <t>마리옹 꼬띠아르</t>
    <phoneticPr fontId="2" type="noConversion"/>
  </si>
  <si>
    <t>Dom Cobb</t>
    <phoneticPr fontId="2" type="noConversion"/>
  </si>
  <si>
    <t>Arthur</t>
    <phoneticPr fontId="2" type="noConversion"/>
  </si>
  <si>
    <t>Saito</t>
    <phoneticPr fontId="2" type="noConversion"/>
  </si>
  <si>
    <t>Eames</t>
    <phoneticPr fontId="2" type="noConversion"/>
  </si>
  <si>
    <t>Ariadne</t>
    <phoneticPr fontId="2" type="noConversion"/>
  </si>
  <si>
    <t>Yusuf</t>
    <phoneticPr fontId="2" type="noConversion"/>
  </si>
  <si>
    <t>Robert Fischer, Jr.</t>
    <phoneticPr fontId="2" type="noConversion"/>
  </si>
  <si>
    <t>Peter Browing</t>
    <phoneticPr fontId="2" type="noConversion"/>
  </si>
  <si>
    <t>Mal Cobb</t>
    <phoneticPr fontId="2" type="noConversion"/>
  </si>
  <si>
    <t>채드 스타헬스키</t>
    <phoneticPr fontId="2" type="noConversion"/>
  </si>
  <si>
    <t>Derek Kolstad</t>
    <phoneticPr fontId="2" type="noConversion"/>
  </si>
  <si>
    <t>키아누 리브스</t>
    <phoneticPr fontId="2" type="noConversion"/>
  </si>
  <si>
    <t>미카엘 니크비스트</t>
    <phoneticPr fontId="2" type="noConversion"/>
  </si>
  <si>
    <t>알피 앨런</t>
    <phoneticPr fontId="2" type="noConversion"/>
  </si>
  <si>
    <t>월렘 대포</t>
    <phoneticPr fontId="2" type="noConversion"/>
  </si>
  <si>
    <t>딘 윈터스</t>
    <phoneticPr fontId="2" type="noConversion"/>
  </si>
  <si>
    <t>에이드리언 팰리키</t>
    <phoneticPr fontId="2" type="noConversion"/>
  </si>
  <si>
    <t>Omer Barnea</t>
    <phoneticPr fontId="2" type="noConversion"/>
  </si>
  <si>
    <t>Toby Leonard Moore</t>
    <phoneticPr fontId="2" type="noConversion"/>
  </si>
  <si>
    <t>다니엘 베른하르트</t>
    <phoneticPr fontId="2" type="noConversion"/>
  </si>
  <si>
    <t>John Wick</t>
    <phoneticPr fontId="2" type="noConversion"/>
  </si>
  <si>
    <t>Viggo Tarasov</t>
    <phoneticPr fontId="2" type="noConversion"/>
  </si>
  <si>
    <t>Iosef Tarasov</t>
    <phoneticPr fontId="2" type="noConversion"/>
  </si>
  <si>
    <t>Marcus</t>
    <phoneticPr fontId="2" type="noConversion"/>
  </si>
  <si>
    <t>Avi</t>
    <phoneticPr fontId="2" type="noConversion"/>
  </si>
  <si>
    <t>Ms. Perkins</t>
    <phoneticPr fontId="2" type="noConversion"/>
  </si>
  <si>
    <t>Gregori</t>
    <phoneticPr fontId="2" type="noConversion"/>
  </si>
  <si>
    <t>Victor</t>
    <phoneticPr fontId="2" type="noConversion"/>
  </si>
  <si>
    <t>Kirill</t>
    <phoneticPr fontId="2" type="noConversion"/>
  </si>
  <si>
    <t>데블 헌터로 일하는 소년 ‘덴지’는 조직의 배신으로 죽음에 내몰린 순간 전기톱 악마견 ‘포치타’와의 계약으로 하나로 합쳐져 누구도 막을 수 없는 존재 ‘체인소 맨’으로 다시 태어난다. 악마와 사냥꾼, 그리고 정체불명의 적들이 얽힌 잔혹한 전쟁 속에서 ‘레제’라는 이름의 미스터리한 소녀가 ‘덴지’ 앞에 나타나는데… ‘덴지’는 사랑이라는 감정에 이끌려 지금껏 가장 위험한 배틀에 몸을 던진다!</t>
    <phoneticPr fontId="2" type="noConversion"/>
  </si>
  <si>
    <t>영화ID - PREFIX(2자리)-YYYYMMDD-일련번호(6자리)</t>
    <phoneticPr fontId="2" type="noConversion"/>
  </si>
  <si>
    <t>액션</t>
    <phoneticPr fontId="2" type="noConversion"/>
  </si>
  <si>
    <t>로맨스</t>
    <phoneticPr fontId="2" type="noConversion"/>
  </si>
  <si>
    <t>공포</t>
    <phoneticPr fontId="2" type="noConversion"/>
  </si>
  <si>
    <t>SF</t>
    <phoneticPr fontId="2" type="noConversion"/>
  </si>
  <si>
    <t>드라마</t>
    <phoneticPr fontId="2" type="noConversion"/>
  </si>
  <si>
    <t>스릴러</t>
    <phoneticPr fontId="2" type="noConversion"/>
  </si>
  <si>
    <t>전쟁</t>
    <phoneticPr fontId="2" type="noConversion"/>
  </si>
  <si>
    <t>역사</t>
    <phoneticPr fontId="2" type="noConversion"/>
  </si>
  <si>
    <t>범죄</t>
    <phoneticPr fontId="2" type="noConversion"/>
  </si>
  <si>
    <t>쿠엔틴 타란티노</t>
    <phoneticPr fontId="2" type="noConversion"/>
  </si>
  <si>
    <t>샘 해그레이브즈</t>
    <phoneticPr fontId="2" type="noConversion"/>
  </si>
  <si>
    <t>조 루소</t>
    <phoneticPr fontId="2" type="noConversion"/>
  </si>
  <si>
    <t>공상과학판타지</t>
    <phoneticPr fontId="2" type="noConversion"/>
  </si>
  <si>
    <t>('PD-' || TO_CHAR(SYSDATE, 'YYYYMMDD-') || LPAD(SEQ_PRODUCER_PK.NEXTVAL, 6, '0'), '</t>
    <phoneticPr fontId="2" type="noConversion"/>
  </si>
  <si>
    <t>)</t>
    <phoneticPr fontId="2" type="noConversion"/>
  </si>
  <si>
    <t>('PD-' || TO_CHAR(SYSDATE, 'YYYYMMDD-') || LPAD(SEQ_PRODUCER_PK.NEXTVAL, 6, '0'), '매기 강)</t>
  </si>
  <si>
    <t>('PD-' || TO_CHAR(SYSDATE, 'YYYYMMDD-') || LPAD(SEQ_PRODUCER_PK.NEXTVAL, 6, '0'), '크리스아펠한스)</t>
  </si>
  <si>
    <t>('PD-' || TO_CHAR(SYSDATE, 'YYYYMMDD-') || LPAD(SEQ_PRODUCER_PK.NEXTVAL, 6, '0'), '다나 히메네스)</t>
  </si>
  <si>
    <t>('PD-' || TO_CHAR(SYSDATE, 'YYYYMMDD-') || LPAD(SEQ_PRODUCER_PK.NEXTVAL, 6, '0'), '해나 맥메찬)</t>
  </si>
  <si>
    <t>('PD-' || TO_CHAR(SYSDATE, 'YYYYMMDD-') || LPAD(SEQ_PRODUCER_PK.NEXTVAL, 6, '0'), 'Marc Behm)</t>
  </si>
  <si>
    <t>('PD-' || TO_CHAR(SYSDATE, 'YYYYMMDD-') || LPAD(SEQ_PRODUCER_PK.NEXTVAL, 6, '0'), 'Richard Lester)</t>
  </si>
  <si>
    <t>('PD-' || TO_CHAR(SYSDATE, 'YYYYMMDD-') || LPAD(SEQ_PRODUCER_PK.NEXTVAL, 6, '0'), 'Charles Wood)</t>
  </si>
  <si>
    <t>('PD-' || TO_CHAR(SYSDATE, 'YYYYMMDD-') || LPAD(SEQ_PRODUCER_PK.NEXTVAL, 6, '0'), '요시하라 타츠야)</t>
  </si>
  <si>
    <t>('PD-' || TO_CHAR(SYSDATE, 'YYYYMMDD-') || LPAD(SEQ_PRODUCER_PK.NEXTVAL, 6, '0'), '세코 히로시)</t>
  </si>
  <si>
    <t>('PD-' || TO_CHAR(SYSDATE, 'YYYYMMDD-') || LPAD(SEQ_PRODUCER_PK.NEXTVAL, 6, '0'), 'John De Bello)</t>
  </si>
  <si>
    <t>('PD-' || TO_CHAR(SYSDATE, 'YYYYMMDD-') || LPAD(SEQ_PRODUCER_PK.NEXTVAL, 6, '0'), 'Rick Rockwell)</t>
  </si>
  <si>
    <t>('PD-' || TO_CHAR(SYSDATE, 'YYYYMMDD-') || LPAD(SEQ_PRODUCER_PK.NEXTVAL, 6, '0'), 'J. Stephen Peace)</t>
  </si>
  <si>
    <t>('PD-' || TO_CHAR(SYSDATE, 'YYYYMMDD-') || LPAD(SEQ_PRODUCER_PK.NEXTVAL, 6, '0'), '샘 멘데스)</t>
  </si>
  <si>
    <t>('PD-' || TO_CHAR(SYSDATE, 'YYYYMMDD-') || LPAD(SEQ_PRODUCER_PK.NEXTVAL, 6, '0'), 'Krysty Wilson-Cairns)</t>
  </si>
  <si>
    <t>('PD-' || TO_CHAR(SYSDATE, 'YYYYMMDD-') || LPAD(SEQ_PRODUCER_PK.NEXTVAL, 6, '0'), '크리스토퍼 놀란)</t>
  </si>
  <si>
    <t>('PD-' || TO_CHAR(SYSDATE, 'YYYYMMDD-') || LPAD(SEQ_PRODUCER_PK.NEXTVAL, 6, '0'), '채드 스타헬스키)</t>
  </si>
  <si>
    <t>('PD-' || TO_CHAR(SYSDATE, 'YYYYMMDD-') || LPAD(SEQ_PRODUCER_PK.NEXTVAL, 6, '0'), 'Derek Kolstad)</t>
  </si>
  <si>
    <t>('PD-' || TO_CHAR(SYSDATE, 'YYYYMMDD-') || LPAD(SEQ_PRODUCER_PK.NEXTVAL, 6, '0'), '쿠엔틴 타란티노)</t>
  </si>
  <si>
    <t>('PD-' || TO_CHAR(SYSDATE, 'YYYYMMDD-') || LPAD(SEQ_PRODUCER_PK.NEXTVAL, 6, '0'), '샘 해그레이브즈)</t>
  </si>
  <si>
    <t>('PD-' || TO_CHAR(SYSDATE, 'YYYYMMDD-') || LPAD(SEQ_PRODUCER_PK.NEXTVAL, 6, '0'), '조 루소)</t>
  </si>
  <si>
    <t>('PD-' || TO_CHAR(SYSDATE, 'YYYYMMDD-') || LPAD(SEQ_PRODUCER_PK.NEXTVAL, 6, '0'), 'Costa Dillon)</t>
    <phoneticPr fontId="2" type="noConversion"/>
  </si>
  <si>
    <t xml:space="preserve"> INSERT INTO ACTOR (ACTOR_ID, ACTOR_NAME, ACTOR_PROFILE_URL) VALUES ('AC-' || TO_CHAR(SYSDATE, 'YYYYMMDD-') || LPAD(SEQ_ACTOR_PK.NEXTVAL, 6, '0') , '</t>
    <phoneticPr fontId="2" type="noConversion"/>
  </si>
  <si>
    <t>');</t>
    <phoneticPr fontId="2" type="noConversion"/>
  </si>
  <si>
    <t>', '</t>
    <phoneticPr fontId="2" type="noConversion"/>
  </si>
  <si>
    <t xml:space="preserve"> INSERT INTO ACTOR (ACTOR_ID, ACTOR_NAME, ACTOR_PROFILE_URL) VALUES ('AC-' || TO_CHAR(SYSDATE, 'YYYYMMDD-') || LPAD(SEQ_ACTOR_PK.NEXTVAL, 6, '0') , '아덴 조', '배우사진');</t>
  </si>
  <si>
    <t xml:space="preserve"> INSERT INTO ACTOR (ACTOR_ID, ACTOR_NAME, ACTOR_PROFILE_URL) VALUES ('AC-' || TO_CHAR(SYSDATE, 'YYYYMMDD-') || LPAD(SEQ_ACTOR_PK.NEXTVAL, 6, '0') , '메이 홍 ', '배우사진');</t>
  </si>
  <si>
    <t xml:space="preserve"> INSERT INTO ACTOR (ACTOR_ID, ACTOR_NAME, ACTOR_PROFILE_URL) VALUES ('AC-' || TO_CHAR(SYSDATE, 'YYYYMMDD-') || LPAD(SEQ_ACTOR_PK.NEXTVAL, 6, '0') , '유지영', '배우사진');</t>
  </si>
  <si>
    <t xml:space="preserve"> INSERT INTO ACTOR (ACTOR_ID, ACTOR_NAME, ACTOR_PROFILE_URL) VALUES ('AC-' || TO_CHAR(SYSDATE, 'YYYYMMDD-') || LPAD(SEQ_ACTOR_PK.NEXTVAL, 6, '0') , '안효섭', '배우사진');</t>
  </si>
  <si>
    <t xml:space="preserve"> INSERT INTO ACTOR (ACTOR_ID, ACTOR_NAME, ACTOR_PROFILE_URL) VALUES ('AC-' || TO_CHAR(SYSDATE, 'YYYYMMDD-') || LPAD(SEQ_ACTOR_PK.NEXTVAL, 6, '0') , '김윤진', '배우사진');</t>
  </si>
  <si>
    <t xml:space="preserve"> INSERT INTO ACTOR (ACTOR_ID, ACTOR_NAME, ACTOR_PROFILE_URL) VALUES ('AC-' || TO_CHAR(SYSDATE, 'YYYYMMDD-') || LPAD(SEQ_ACTOR_PK.NEXTVAL, 6, '0') , '켄 정', '배우사진');</t>
  </si>
  <si>
    <t xml:space="preserve"> INSERT INTO ACTOR (ACTOR_ID, ACTOR_NAME, ACTOR_PROFILE_URL) VALUES ('AC-' || TO_CHAR(SYSDATE, 'YYYYMMDD-') || LPAD(SEQ_ACTOR_PK.NEXTVAL, 6, '0') , '이병헌 ', '배우사진');</t>
  </si>
  <si>
    <t xml:space="preserve"> INSERT INTO ACTOR (ACTOR_ID, ACTOR_NAME, ACTOR_PROFILE_URL) VALUES ('AC-' || TO_CHAR(SYSDATE, 'YYYYMMDD-') || LPAD(SEQ_ACTOR_PK.NEXTVAL, 6, '0') , '다니엘 대 킴', '배우사진');</t>
  </si>
  <si>
    <t xml:space="preserve"> INSERT INTO ACTOR (ACTOR_ID, ACTOR_NAME, ACTOR_PROFILE_URL) VALUES ('AC-' || TO_CHAR(SYSDATE, 'YYYYMMDD-') || LPAD(SEQ_ACTOR_PK.NEXTVAL, 6, '0') , '조엘 김 부스터', '배우사진');</t>
  </si>
  <si>
    <t xml:space="preserve"> INSERT INTO ACTOR (ACTOR_ID, ACTOR_NAME, ACTOR_PROFILE_URL) VALUES ('AC-' || TO_CHAR(SYSDATE, 'YYYYMMDD-') || LPAD(SEQ_ACTOR_PK.NEXTVAL, 6, '0') , '조지 해리슨', '배우사진');</t>
  </si>
  <si>
    <t xml:space="preserve"> INSERT INTO ACTOR (ACTOR_ID, ACTOR_NAME, ACTOR_PROFILE_URL) VALUES ('AC-' || TO_CHAR(SYSDATE, 'YYYYMMDD-') || LPAD(SEQ_ACTOR_PK.NEXTVAL, 6, '0') , '존 레논', '배우사진');</t>
  </si>
  <si>
    <t xml:space="preserve"> INSERT INTO ACTOR (ACTOR_ID, ACTOR_NAME, ACTOR_PROFILE_URL) VALUES ('AC-' || TO_CHAR(SYSDATE, 'YYYYMMDD-') || LPAD(SEQ_ACTOR_PK.NEXTVAL, 6, '0') , '폴 매카트니', '배우사진');</t>
  </si>
  <si>
    <t xml:space="preserve"> INSERT INTO ACTOR (ACTOR_ID, ACTOR_NAME, ACTOR_PROFILE_URL) VALUES ('AC-' || TO_CHAR(SYSDATE, 'YYYYMMDD-') || LPAD(SEQ_ACTOR_PK.NEXTVAL, 6, '0') , '링고 스타', '배우사진');</t>
  </si>
  <si>
    <t xml:space="preserve"> INSERT INTO ACTOR (ACTOR_ID, ACTOR_NAME, ACTOR_PROFILE_URL) VALUES ('AC-' || TO_CHAR(SYSDATE, 'YYYYMMDD-') || LPAD(SEQ_ACTOR_PK.NEXTVAL, 6, '0') , 'Leo McKern', '배우사진');</t>
  </si>
  <si>
    <t xml:space="preserve"> INSERT INTO ACTOR (ACTOR_ID, ACTOR_NAME, ACTOR_PROFILE_URL) VALUES ('AC-' || TO_CHAR(SYSDATE, 'YYYYMMDD-') || LPAD(SEQ_ACTOR_PK.NEXTVAL, 6, '0') , 'Eleanor Bron ', '배우사진');</t>
  </si>
  <si>
    <t xml:space="preserve"> INSERT INTO ACTOR (ACTOR_ID, ACTOR_NAME, ACTOR_PROFILE_URL) VALUES ('AC-' || TO_CHAR(SYSDATE, 'YYYYMMDD-') || LPAD(SEQ_ACTOR_PK.NEXTVAL, 6, '0') , 'Victor Spinetti', '배우사진');</t>
  </si>
  <si>
    <t xml:space="preserve"> INSERT INTO ACTOR (ACTOR_ID, ACTOR_NAME, ACTOR_PROFILE_URL) VALUES ('AC-' || TO_CHAR(SYSDATE, 'YYYYMMDD-') || LPAD(SEQ_ACTOR_PK.NEXTVAL, 6, '0') , 'Roy Kinnear', '배우사진');</t>
  </si>
  <si>
    <t xml:space="preserve"> INSERT INTO ACTOR (ACTOR_ID, ACTOR_NAME, ACTOR_PROFILE_URL) VALUES ('AC-' || TO_CHAR(SYSDATE, 'YYYYMMDD-') || LPAD(SEQ_ACTOR_PK.NEXTVAL, 6, '0') , 'John Bluthal', '배우사진');</t>
  </si>
  <si>
    <t xml:space="preserve"> INSERT INTO ACTOR (ACTOR_ID, ACTOR_NAME, ACTOR_PROFILE_URL) VALUES ('AC-' || TO_CHAR(SYSDATE, 'YYYYMMDD-') || LPAD(SEQ_ACTOR_PK.NEXTVAL, 6, '0') , '토야 키쿠노스케 ', '배우사진');</t>
  </si>
  <si>
    <t xml:space="preserve"> INSERT INTO ACTOR (ACTOR_ID, ACTOR_NAME, ACTOR_PROFILE_URL) VALUES ('AC-' || TO_CHAR(SYSDATE, 'YYYYMMDD-') || LPAD(SEQ_ACTOR_PK.NEXTVAL, 6, '0') , '우에다 레이나', '배우사진');</t>
  </si>
  <si>
    <t xml:space="preserve"> INSERT INTO ACTOR (ACTOR_ID, ACTOR_NAME, ACTOR_PROFILE_URL) VALUES ('AC-' || TO_CHAR(SYSDATE, 'YYYYMMDD-') || LPAD(SEQ_ACTOR_PK.NEXTVAL, 6, '0') , '쿠스노키 토모리', '배우사진');</t>
  </si>
  <si>
    <t xml:space="preserve"> INSERT INTO ACTOR (ACTOR_ID, ACTOR_NAME, ACTOR_PROFILE_URL) VALUES ('AC-' || TO_CHAR(SYSDATE, 'YYYYMMDD-') || LPAD(SEQ_ACTOR_PK.NEXTVAL, 6, '0') , '사카타 쇼고', '배우사진');</t>
  </si>
  <si>
    <t xml:space="preserve"> INSERT INTO ACTOR (ACTOR_ID, ACTOR_NAME, ACTOR_PROFILE_URL) VALUES ('AC-' || TO_CHAR(SYSDATE, 'YYYYMMDD-') || LPAD(SEQ_ACTOR_PK.NEXTVAL, 6, '0') , '우치다 마아야', '배우사진');</t>
  </si>
  <si>
    <t xml:space="preserve"> INSERT INTO ACTOR (ACTOR_ID, ACTOR_NAME, ACTOR_PROFILE_URL) VALUES ('AC-' || TO_CHAR(SYSDATE, 'YYYYMMDD-') || LPAD(SEQ_ACTOR_PK.NEXTVAL, 6, '0') , '하나에 나츠키', '배우사진');</t>
  </si>
  <si>
    <t xml:space="preserve"> INSERT INTO ACTOR (ACTOR_ID, ACTOR_NAME, ACTOR_PROFILE_URL) VALUES ('AC-' || TO_CHAR(SYSDATE, 'YYYYMMDD-') || LPAD(SEQ_ACTOR_PK.NEXTVAL, 6, '0') , '타카하시 카린', '배우사진');</t>
  </si>
  <si>
    <t xml:space="preserve"> INSERT INTO ACTOR (ACTOR_ID, ACTOR_NAME, ACTOR_PROFILE_URL) VALUES ('AC-' || TO_CHAR(SYSDATE, 'YYYYMMDD-') || LPAD(SEQ_ACTOR_PK.NEXTVAL, 6, '0') , '파이루즈 아이', '배우사진');</t>
  </si>
  <si>
    <t xml:space="preserve"> INSERT INTO ACTOR (ACTOR_ID, ACTOR_NAME, ACTOR_PROFILE_URL) VALUES ('AC-' || TO_CHAR(SYSDATE, 'YYYYMMDD-') || LPAD(SEQ_ACTOR_PK.NEXTVAL, 6, '0') , '우치다 유우야', '배우사진');</t>
  </si>
  <si>
    <t xml:space="preserve"> INSERT INTO ACTOR (ACTOR_ID, ACTOR_NAME, ACTOR_PROFILE_URL) VALUES ('AC-' || TO_CHAR(SYSDATE, 'YYYYMMDD-') || LPAD(SEQ_ACTOR_PK.NEXTVAL, 6, '0') , 'David Miller', '배우사진');</t>
  </si>
  <si>
    <t xml:space="preserve"> INSERT INTO ACTOR (ACTOR_ID, ACTOR_NAME, ACTOR_PROFILE_URL) VALUES ('AC-' || TO_CHAR(SYSDATE, 'YYYYMMDD-') || LPAD(SEQ_ACTOR_PK.NEXTVAL, 6, '0') , 'George Wilson', '배우사진');</t>
  </si>
  <si>
    <t xml:space="preserve"> INSERT INTO ACTOR (ACTOR_ID, ACTOR_NAME, ACTOR_PROFILE_URL) VALUES ('AC-' || TO_CHAR(SYSDATE, 'YYYYMMDD-') || LPAD(SEQ_ACTOR_PK.NEXTVAL, 6, '0') , 'Sharon Taylor', '배우사진');</t>
  </si>
  <si>
    <t xml:space="preserve"> INSERT INTO ACTOR (ACTOR_ID, ACTOR_NAME, ACTOR_PROFILE_URL) VALUES ('AC-' || TO_CHAR(SYSDATE, 'YYYYMMDD-') || LPAD(SEQ_ACTOR_PK.NEXTVAL, 6, '0') , 'J. Stephen Peace', '배우사진');</t>
  </si>
  <si>
    <t xml:space="preserve"> INSERT INTO ACTOR (ACTOR_ID, ACTOR_NAME, ACTOR_PROFILE_URL) VALUES ('AC-' || TO_CHAR(SYSDATE, 'YYYYMMDD-') || LPAD(SEQ_ACTOR_PK.NEXTVAL, 6, '0') , 'Ernie Meyers', '배우사진');</t>
  </si>
  <si>
    <t xml:space="preserve"> INSERT INTO ACTOR (ACTOR_ID, ACTOR_NAME, ACTOR_PROFILE_URL) VALUES ('AC-' || TO_CHAR(SYSDATE, 'YYYYMMDD-') || LPAD(SEQ_ACTOR_PK.NEXTVAL, 6, '0') , 'Eric Christmas', '배우사진');</t>
  </si>
  <si>
    <t xml:space="preserve"> INSERT INTO ACTOR (ACTOR_ID, ACTOR_NAME, ACTOR_PROFILE_URL) VALUES ('AC-' || TO_CHAR(SYSDATE, 'YYYYMMDD-') || LPAD(SEQ_ACTOR_PK.NEXTVAL, 6, '0') , 'Jack Riley', '배우사진');</t>
  </si>
  <si>
    <t xml:space="preserve"> INSERT INTO ACTOR (ACTOR_ID, ACTOR_NAME, ACTOR_PROFILE_URL) VALUES ('AC-' || TO_CHAR(SYSDATE, 'YYYYMMDD-') || LPAD(SEQ_ACTOR_PK.NEXTVAL, 6, '0') , 'Nigel Barber', '배우사진');</t>
  </si>
  <si>
    <t xml:space="preserve"> INSERT INTO ACTOR (ACTOR_ID, ACTOR_NAME, ACTOR_PROFILE_URL) VALUES ('AC-' || TO_CHAR(SYSDATE, 'YYYYMMDD-') || LPAD(SEQ_ACTOR_PK.NEXTVAL, 6, '0') , 'John De Bello', '배우사진');</t>
  </si>
  <si>
    <t xml:space="preserve"> INSERT INTO ACTOR (ACTOR_ID, ACTOR_NAME, ACTOR_PROFILE_URL) VALUES ('AC-' || TO_CHAR(SYSDATE, 'YYYYMMDD-') || LPAD(SEQ_ACTOR_PK.NEXTVAL, 6, '0') , '브래드 피트', '배우사진');</t>
  </si>
  <si>
    <t xml:space="preserve"> INSERT INTO ACTOR (ACTOR_ID, ACTOR_NAME, ACTOR_PROFILE_URL) VALUES ('AC-' || TO_CHAR(SYSDATE, 'YYYYMMDD-') || LPAD(SEQ_ACTOR_PK.NEXTVAL, 6, '0') , '멜라니 로랑', '배우사진');</t>
  </si>
  <si>
    <t xml:space="preserve"> INSERT INTO ACTOR (ACTOR_ID, ACTOR_NAME, ACTOR_PROFILE_URL) VALUES ('AC-' || TO_CHAR(SYSDATE, 'YYYYMMDD-') || LPAD(SEQ_ACTOR_PK.NEXTVAL, 6, '0') , '크리스토프 발츠', '배우사진');</t>
  </si>
  <si>
    <t xml:space="preserve"> INSERT INTO ACTOR (ACTOR_ID, ACTOR_NAME, ACTOR_PROFILE_URL) VALUES ('AC-' || TO_CHAR(SYSDATE, 'YYYYMMDD-') || LPAD(SEQ_ACTOR_PK.NEXTVAL, 6, '0') , '일라이 로스', '배우사진');</t>
  </si>
  <si>
    <t xml:space="preserve"> INSERT INTO ACTOR (ACTOR_ID, ACTOR_NAME, ACTOR_PROFILE_URL) VALUES ('AC-' || TO_CHAR(SYSDATE, 'YYYYMMDD-') || LPAD(SEQ_ACTOR_PK.NEXTVAL, 6, '0') , '마이클 패스벤더', '배우사진');</t>
  </si>
  <si>
    <t xml:space="preserve"> INSERT INTO ACTOR (ACTOR_ID, ACTOR_NAME, ACTOR_PROFILE_URL) VALUES ('AC-' || TO_CHAR(SYSDATE, 'YYYYMMDD-') || LPAD(SEQ_ACTOR_PK.NEXTVAL, 6, '0') , '다이앤 크루거', '배우사진');</t>
  </si>
  <si>
    <t xml:space="preserve"> INSERT INTO ACTOR (ACTOR_ID, ACTOR_NAME, ACTOR_PROFILE_URL) VALUES ('AC-' || TO_CHAR(SYSDATE, 'YYYYMMDD-') || LPAD(SEQ_ACTOR_PK.NEXTVAL, 6, '0') , '다니엘 브륄', '배우사진');</t>
  </si>
  <si>
    <t xml:space="preserve"> INSERT INTO ACTOR (ACTOR_ID, ACTOR_NAME, ACTOR_PROFILE_URL) VALUES ('AC-' || TO_CHAR(SYSDATE, 'YYYYMMDD-') || LPAD(SEQ_ACTOR_PK.NEXTVAL, 6, '0') , '틸 슈바이거', '배우사진');</t>
  </si>
  <si>
    <t xml:space="preserve"> INSERT INTO ACTOR (ACTOR_ID, ACTOR_NAME, ACTOR_PROFILE_URL) VALUES ('AC-' || TO_CHAR(SYSDATE, 'YYYYMMDD-') || LPAD(SEQ_ACTOR_PK.NEXTVAL, 6, '0') , 'Gedeon Burkhard', '배우사진');</t>
  </si>
  <si>
    <t xml:space="preserve"> INSERT INTO ACTOR (ACTOR_ID, ACTOR_NAME, ACTOR_PROFILE_URL) VALUES ('AC-' || TO_CHAR(SYSDATE, 'YYYYMMDD-') || LPAD(SEQ_ACTOR_PK.NEXTVAL, 6, '0') , '크리스 햄스워스', '배우사진');</t>
  </si>
  <si>
    <t xml:space="preserve"> INSERT INTO ACTOR (ACTOR_ID, ACTOR_NAME, ACTOR_PROFILE_URL) VALUES ('AC-' || TO_CHAR(SYSDATE, 'YYYYMMDD-') || LPAD(SEQ_ACTOR_PK.NEXTVAL, 6, '0') , 'Rudhraksh Jaiswal', '배우사진');</t>
  </si>
  <si>
    <t xml:space="preserve"> INSERT INTO ACTOR (ACTOR_ID, ACTOR_NAME, ACTOR_PROFILE_URL) VALUES ('AC-' || TO_CHAR(SYSDATE, 'YYYYMMDD-') || LPAD(SEQ_ACTOR_PK.NEXTVAL, 6, '0') , 'Randeep hooda', '배우사진');</t>
  </si>
  <si>
    <t xml:space="preserve"> INSERT INTO ACTOR (ACTOR_ID, ACTOR_NAME, ACTOR_PROFILE_URL) VALUES ('AC-' || TO_CHAR(SYSDATE, 'YYYYMMDD-') || LPAD(SEQ_ACTOR_PK.NEXTVAL, 6, '0') , '골쉬프테 파라하니', '배우사진');</t>
  </si>
  <si>
    <t xml:space="preserve"> INSERT INTO ACTOR (ACTOR_ID, ACTOR_NAME, ACTOR_PROFILE_URL) VALUES ('AC-' || TO_CHAR(SYSDATE, 'YYYYMMDD-') || LPAD(SEQ_ACTOR_PK.NEXTVAL, 6, '0') , 'Pankaj Tripathi', '배우사진');</t>
  </si>
  <si>
    <t xml:space="preserve"> INSERT INTO ACTOR (ACTOR_ID, ACTOR_NAME, ACTOR_PROFILE_URL) VALUES ('AC-' || TO_CHAR(SYSDATE, 'YYYYMMDD-') || LPAD(SEQ_ACTOR_PK.NEXTVAL, 6, '0') , '데이비드 하버', '배우사진');</t>
  </si>
  <si>
    <t xml:space="preserve"> INSERT INTO ACTOR (ACTOR_ID, ACTOR_NAME, ACTOR_PROFILE_URL) VALUES ('AC-' || TO_CHAR(SYSDATE, 'YYYYMMDD-') || LPAD(SEQ_ACTOR_PK.NEXTVAL, 6, '0') , 'Bryon Lerum', '배우사진');</t>
  </si>
  <si>
    <t xml:space="preserve"> INSERT INTO ACTOR (ACTOR_ID, ACTOR_NAME, ACTOR_PROFILE_URL) VALUES ('AC-' || TO_CHAR(SYSDATE, 'YYYYMMDD-') || LPAD(SEQ_ACTOR_PK.NEXTVAL, 6, '0') , 'Ryder Lerum', '배우사진');</t>
  </si>
  <si>
    <t xml:space="preserve"> INSERT INTO ACTOR (ACTOR_ID, ACTOR_NAME, ACTOR_PROFILE_URL) VALUES ('AC-' || TO_CHAR(SYSDATE, 'YYYYMMDD-') || LPAD(SEQ_ACTOR_PK.NEXTVAL, 6, '0') , 'Shivam Vichare', '배우사진');</t>
  </si>
  <si>
    <t xml:space="preserve"> INSERT INTO ACTOR (ACTOR_ID, ACTOR_NAME, ACTOR_PROFILE_URL) VALUES ('AC-' || TO_CHAR(SYSDATE, 'YYYYMMDD-') || LPAD(SEQ_ACTOR_PK.NEXTVAL, 6, '0') , '조지 맥케이 ', '배우사진');</t>
  </si>
  <si>
    <t xml:space="preserve"> INSERT INTO ACTOR (ACTOR_ID, ACTOR_NAME, ACTOR_PROFILE_URL) VALUES ('AC-' || TO_CHAR(SYSDATE, 'YYYYMMDD-') || LPAD(SEQ_ACTOR_PK.NEXTVAL, 6, '0') , '딘-찰스 채프먼', '배우사진');</t>
  </si>
  <si>
    <t xml:space="preserve"> INSERT INTO ACTOR (ACTOR_ID, ACTOR_NAME, ACTOR_PROFILE_URL) VALUES ('AC-' || TO_CHAR(SYSDATE, 'YYYYMMDD-') || LPAD(SEQ_ACTOR_PK.NEXTVAL, 6, '0') , '마크 스트롱', '배우사진');</t>
  </si>
  <si>
    <t xml:space="preserve"> INSERT INTO ACTOR (ACTOR_ID, ACTOR_NAME, ACTOR_PROFILE_URL) VALUES ('AC-' || TO_CHAR(SYSDATE, 'YYYYMMDD-') || LPAD(SEQ_ACTOR_PK.NEXTVAL, 6, '0') , '앤드류 스콧', '배우사진');</t>
  </si>
  <si>
    <t xml:space="preserve"> INSERT INTO ACTOR (ACTOR_ID, ACTOR_NAME, ACTOR_PROFILE_URL) VALUES ('AC-' || TO_CHAR(SYSDATE, 'YYYYMMDD-') || LPAD(SEQ_ACTOR_PK.NEXTVAL, 6, '0') , '리차드 매든', '배우사진');</t>
  </si>
  <si>
    <t xml:space="preserve"> INSERT INTO ACTOR (ACTOR_ID, ACTOR_NAME, ACTOR_PROFILE_URL) VALUES ('AC-' || TO_CHAR(SYSDATE, 'YYYYMMDD-') || LPAD(SEQ_ACTOR_PK.NEXTVAL, 6, '0') , '클레어 듀버크', '배우사진');</t>
  </si>
  <si>
    <t xml:space="preserve"> INSERT INTO ACTOR (ACTOR_ID, ACTOR_NAME, ACTOR_PROFILE_URL) VALUES ('AC-' || TO_CHAR(SYSDATE, 'YYYYMMDD-') || LPAD(SEQ_ACTOR_PK.NEXTVAL, 6, '0') , '콜린 퍼스', '배우사진');</t>
  </si>
  <si>
    <t xml:space="preserve"> INSERT INTO ACTOR (ACTOR_ID, ACTOR_NAME, ACTOR_PROFILE_URL) VALUES ('AC-' || TO_CHAR(SYSDATE, 'YYYYMMDD-') || LPAD(SEQ_ACTOR_PK.NEXTVAL, 6, '0') , '베네딕트 컴버배치', '배우사진');</t>
  </si>
  <si>
    <t xml:space="preserve"> INSERT INTO ACTOR (ACTOR_ID, ACTOR_NAME, ACTOR_PROFILE_URL) VALUES ('AC-' || TO_CHAR(SYSDATE, 'YYYYMMDD-') || LPAD(SEQ_ACTOR_PK.NEXTVAL, 6, '0') , '다니엘 메이스', '배우사진');</t>
  </si>
  <si>
    <t xml:space="preserve"> INSERT INTO ACTOR (ACTOR_ID, ACTOR_NAME, ACTOR_PROFILE_URL) VALUES ('AC-' || TO_CHAR(SYSDATE, 'YYYYMMDD-') || LPAD(SEQ_ACTOR_PK.NEXTVAL, 6, '0') , '레오나르도 디카프리오', '배우사진');</t>
  </si>
  <si>
    <t xml:space="preserve"> INSERT INTO ACTOR (ACTOR_ID, ACTOR_NAME, ACTOR_PROFILE_URL) VALUES ('AC-' || TO_CHAR(SYSDATE, 'YYYYMMDD-') || LPAD(SEQ_ACTOR_PK.NEXTVAL, 6, '0') , '조셉 고든레빗', '배우사진');</t>
  </si>
  <si>
    <t xml:space="preserve"> INSERT INTO ACTOR (ACTOR_ID, ACTOR_NAME, ACTOR_PROFILE_URL) VALUES ('AC-' || TO_CHAR(SYSDATE, 'YYYYMMDD-') || LPAD(SEQ_ACTOR_PK.NEXTVAL, 6, '0') , '와타나베 켄', '배우사진');</t>
  </si>
  <si>
    <t xml:space="preserve"> INSERT INTO ACTOR (ACTOR_ID, ACTOR_NAME, ACTOR_PROFILE_URL) VALUES ('AC-' || TO_CHAR(SYSDATE, 'YYYYMMDD-') || LPAD(SEQ_ACTOR_PK.NEXTVAL, 6, '0') , '톰 하디', '배우사진');</t>
  </si>
  <si>
    <t xml:space="preserve"> INSERT INTO ACTOR (ACTOR_ID, ACTOR_NAME, ACTOR_PROFILE_URL) VALUES ('AC-' || TO_CHAR(SYSDATE, 'YYYYMMDD-') || LPAD(SEQ_ACTOR_PK.NEXTVAL, 6, '0') , '엘리엇 페이지', '배우사진');</t>
  </si>
  <si>
    <t xml:space="preserve"> INSERT INTO ACTOR (ACTOR_ID, ACTOR_NAME, ACTOR_PROFILE_URL) VALUES ('AC-' || TO_CHAR(SYSDATE, 'YYYYMMDD-') || LPAD(SEQ_ACTOR_PK.NEXTVAL, 6, '0') , '딜립 라오 ', '배우사진');</t>
  </si>
  <si>
    <t xml:space="preserve"> INSERT INTO ACTOR (ACTOR_ID, ACTOR_NAME, ACTOR_PROFILE_URL) VALUES ('AC-' || TO_CHAR(SYSDATE, 'YYYYMMDD-') || LPAD(SEQ_ACTOR_PK.NEXTVAL, 6, '0') , '킬리언 머피', '배우사진');</t>
  </si>
  <si>
    <t xml:space="preserve"> INSERT INTO ACTOR (ACTOR_ID, ACTOR_NAME, ACTOR_PROFILE_URL) VALUES ('AC-' || TO_CHAR(SYSDATE, 'YYYYMMDD-') || LPAD(SEQ_ACTOR_PK.NEXTVAL, 6, '0') , '톰 베렌저', '배우사진');</t>
  </si>
  <si>
    <t xml:space="preserve"> INSERT INTO ACTOR (ACTOR_ID, ACTOR_NAME, ACTOR_PROFILE_URL) VALUES ('AC-' || TO_CHAR(SYSDATE, 'YYYYMMDD-') || LPAD(SEQ_ACTOR_PK.NEXTVAL, 6, '0') , '마리옹 꼬띠아르', '배우사진');</t>
  </si>
  <si>
    <t xml:space="preserve"> INSERT INTO ACTOR (ACTOR_ID, ACTOR_NAME, ACTOR_PROFILE_URL) VALUES ('AC-' || TO_CHAR(SYSDATE, 'YYYYMMDD-') || LPAD(SEQ_ACTOR_PK.NEXTVAL, 6, '0') , '키아누 리브스', '배우사진');</t>
  </si>
  <si>
    <t xml:space="preserve"> INSERT INTO ACTOR (ACTOR_ID, ACTOR_NAME, ACTOR_PROFILE_URL) VALUES ('AC-' || TO_CHAR(SYSDATE, 'YYYYMMDD-') || LPAD(SEQ_ACTOR_PK.NEXTVAL, 6, '0') , '미카엘 니크비스트', '배우사진');</t>
  </si>
  <si>
    <t xml:space="preserve"> INSERT INTO ACTOR (ACTOR_ID, ACTOR_NAME, ACTOR_PROFILE_URL) VALUES ('AC-' || TO_CHAR(SYSDATE, 'YYYYMMDD-') || LPAD(SEQ_ACTOR_PK.NEXTVAL, 6, '0') , '알피 앨런', '배우사진');</t>
  </si>
  <si>
    <t xml:space="preserve"> INSERT INTO ACTOR (ACTOR_ID, ACTOR_NAME, ACTOR_PROFILE_URL) VALUES ('AC-' || TO_CHAR(SYSDATE, 'YYYYMMDD-') || LPAD(SEQ_ACTOR_PK.NEXTVAL, 6, '0') , '월렘 대포', '배우사진');</t>
  </si>
  <si>
    <t xml:space="preserve"> INSERT INTO ACTOR (ACTOR_ID, ACTOR_NAME, ACTOR_PROFILE_URL) VALUES ('AC-' || TO_CHAR(SYSDATE, 'YYYYMMDD-') || LPAD(SEQ_ACTOR_PK.NEXTVAL, 6, '0') , '딘 윈터스', '배우사진');</t>
  </si>
  <si>
    <t xml:space="preserve"> INSERT INTO ACTOR (ACTOR_ID, ACTOR_NAME, ACTOR_PROFILE_URL) VALUES ('AC-' || TO_CHAR(SYSDATE, 'YYYYMMDD-') || LPAD(SEQ_ACTOR_PK.NEXTVAL, 6, '0') , '에이드리언 팰리키', '배우사진');</t>
  </si>
  <si>
    <t xml:space="preserve"> INSERT INTO ACTOR (ACTOR_ID, ACTOR_NAME, ACTOR_PROFILE_URL) VALUES ('AC-' || TO_CHAR(SYSDATE, 'YYYYMMDD-') || LPAD(SEQ_ACTOR_PK.NEXTVAL, 6, '0') , 'Omer Barnea', '배우사진');</t>
  </si>
  <si>
    <t xml:space="preserve"> INSERT INTO ACTOR (ACTOR_ID, ACTOR_NAME, ACTOR_PROFILE_URL) VALUES ('AC-' || TO_CHAR(SYSDATE, 'YYYYMMDD-') || LPAD(SEQ_ACTOR_PK.NEXTVAL, 6, '0') , 'Toby Leonard Moore', '배우사진');</t>
  </si>
  <si>
    <t xml:space="preserve"> INSERT INTO ACTOR (ACTOR_ID, ACTOR_NAME, ACTOR_PROFILE_URL) VALUES ('AC-' || TO_CHAR(SYSDATE, 'YYYYMMDD-') || LPAD(SEQ_ACTOR_PK.NEXTVAL, 6, '0') , '다니엘 베른하르트', '배우사진');</t>
  </si>
  <si>
    <r>
      <t>劇場版 チェンソ</t>
    </r>
    <r>
      <rPr>
        <sz val="11"/>
        <color rgb="FF000000"/>
        <rFont val="Noto Sans KR"/>
        <family val="3"/>
        <charset val="129"/>
      </rPr>
      <t>ー</t>
    </r>
    <r>
      <rPr>
        <sz val="11"/>
        <color rgb="FF000000"/>
        <rFont val="맑은 고딕"/>
        <family val="3"/>
        <charset val="129"/>
        <scheme val="major"/>
      </rPr>
      <t>マン レゼ篇</t>
    </r>
    <phoneticPr fontId="2" type="noConversion"/>
  </si>
  <si>
    <t>식탁에 있던 토마토들이 어느 날 갑자기 사람들을 공격하기 시작하면서 토마토와 인간은 한바탕 전쟁을 벌이기 시작한다!</t>
    <phoneticPr fontId="2" type="noConversion"/>
  </si>
  <si>
    <t>Attack of the Killer Tomatoes!</t>
    <phoneticPr fontId="2" type="noConversion"/>
  </si>
  <si>
    <t>Inglourious Basterds</t>
    <phoneticPr fontId="2" type="noConversion"/>
  </si>
  <si>
    <t>어떤 일에도 쉽게 동요하지 않는 냉철한 청부업자. 그가 살아남기 위해 자신을 끊임없이 성찰한다. 마약왕의 납치된 아들을 구하러 간 방글라데시에서 그 모든 것이 시작됐다.</t>
    <phoneticPr fontId="2" type="noConversion"/>
  </si>
  <si>
    <t>Extraction</t>
    <phoneticPr fontId="2" type="noConversion"/>
  </si>
  <si>
    <t>MV-20260227-000001</t>
  </si>
  <si>
    <t>MV-20260227-000002</t>
  </si>
  <si>
    <t>MV-20260227-000003</t>
  </si>
  <si>
    <t>MV-20260227-000004</t>
  </si>
  <si>
    <t>MV-20260227-000005</t>
  </si>
  <si>
    <t>MV-20260227-000006</t>
  </si>
  <si>
    <t>MV-20260227-000007</t>
  </si>
  <si>
    <t>MV-20260227-000008</t>
  </si>
  <si>
    <t>MV-20260227-000009</t>
  </si>
  <si>
    <t>MV-20260227-000010</t>
  </si>
  <si>
    <t>AP-20260227-000001</t>
  </si>
  <si>
    <t>AC-20260227-000001</t>
  </si>
  <si>
    <t>AP-20260227-000002</t>
  </si>
  <si>
    <t>AC-20260227-000002</t>
  </si>
  <si>
    <t>AP-20260227-000003</t>
  </si>
  <si>
    <t>AC-20260227-000003</t>
  </si>
  <si>
    <t>AP-20260227-000004</t>
  </si>
  <si>
    <t>AC-20260227-000004</t>
  </si>
  <si>
    <t>AP-20260227-000005</t>
  </si>
  <si>
    <t>AC-20260227-000005</t>
  </si>
  <si>
    <t>AP-20260227-000006</t>
  </si>
  <si>
    <t>AC-20260227-000006</t>
  </si>
  <si>
    <t>AP-20260227-000007</t>
  </si>
  <si>
    <t>AC-20260227-000007</t>
  </si>
  <si>
    <t>AP-20260227-000008</t>
  </si>
  <si>
    <t>AC-20260227-000008</t>
  </si>
  <si>
    <t>AP-20260227-000009</t>
  </si>
  <si>
    <t>AP-20260227-000010</t>
  </si>
  <si>
    <t>AP-20260227-000011</t>
  </si>
  <si>
    <t>AC-20260227-000009</t>
  </si>
  <si>
    <t>AP-20260227-000012</t>
  </si>
  <si>
    <t>AP-20260227-000013</t>
  </si>
  <si>
    <t>AC-20260227-000010</t>
  </si>
  <si>
    <t>AP-20260227-000014</t>
  </si>
  <si>
    <t>AC-20260227-000011</t>
  </si>
  <si>
    <t>AP-20260227-000015</t>
  </si>
  <si>
    <t>AC-20260227-000012</t>
  </si>
  <si>
    <t>AP-20260227-000016</t>
  </si>
  <si>
    <t>AC-20260227-000013</t>
  </si>
  <si>
    <t>AP-20260227-000017</t>
  </si>
  <si>
    <t>AC-20260227-000014</t>
  </si>
  <si>
    <t>AP-20260227-000018</t>
  </si>
  <si>
    <t>AC-20260227-000015</t>
  </si>
  <si>
    <t>AP-20260227-000019</t>
  </si>
  <si>
    <t>AC-20260227-000016</t>
  </si>
  <si>
    <t>AP-20260227-000020</t>
  </si>
  <si>
    <t>AC-20260227-000017</t>
  </si>
  <si>
    <t>AP-20260227-000021</t>
  </si>
  <si>
    <t>AC-20260227-000018</t>
  </si>
  <si>
    <t>AP-20260227-000022</t>
  </si>
  <si>
    <t>AC-20260227-000019</t>
  </si>
  <si>
    <t>AP-20260227-000023</t>
  </si>
  <si>
    <t>AC-20260227-000020</t>
  </si>
  <si>
    <t>AP-20260227-000024</t>
  </si>
  <si>
    <t>AC-20260227-000021</t>
  </si>
  <si>
    <t>AP-20260227-000025</t>
  </si>
  <si>
    <t>AC-20260227-000022</t>
  </si>
  <si>
    <t>AP-20260227-000026</t>
  </si>
  <si>
    <t>AC-20260227-000023</t>
  </si>
  <si>
    <t>AP-20260227-000027</t>
  </si>
  <si>
    <t>AC-20260227-000024</t>
  </si>
  <si>
    <t>AP-20260227-000028</t>
  </si>
  <si>
    <t>AC-20260227-000025</t>
  </si>
  <si>
    <t>AP-20260227-000029</t>
  </si>
  <si>
    <t>AC-20260227-000026</t>
  </si>
  <si>
    <t>AP-20260227-000030</t>
  </si>
  <si>
    <t>AC-20260227-000027</t>
  </si>
  <si>
    <t>AP-20260227-000031</t>
  </si>
  <si>
    <t>AC-20260227-000028</t>
  </si>
  <si>
    <t>AP-20260227-000032</t>
  </si>
  <si>
    <t>AC-20260227-000029</t>
  </si>
  <si>
    <t>AP-20260227-000033</t>
  </si>
  <si>
    <t>AC-20260227-000030</t>
  </si>
  <si>
    <t>AP-20260227-000034</t>
  </si>
  <si>
    <t>AC-20260227-000031</t>
  </si>
  <si>
    <t>AP-20260227-000035</t>
  </si>
  <si>
    <t>AC-20260227-000032</t>
  </si>
  <si>
    <t>AP-20260227-000036</t>
  </si>
  <si>
    <t>AC-20260227-000033</t>
  </si>
  <si>
    <t>AP-20260227-000037</t>
  </si>
  <si>
    <t>AC-20260227-000034</t>
  </si>
  <si>
    <t>AP-20260227-000038</t>
  </si>
  <si>
    <t>AC-20260227-000035</t>
  </si>
  <si>
    <t>AP-20260227-000039</t>
  </si>
  <si>
    <t>AC-20260227-000036</t>
  </si>
  <si>
    <t>AP-20260227-000040</t>
  </si>
  <si>
    <t>AP-20260227-000041</t>
  </si>
  <si>
    <t>AC-20260227-000037</t>
  </si>
  <si>
    <t>AP-20260227-000042</t>
  </si>
  <si>
    <t>AC-20260227-000038</t>
  </si>
  <si>
    <t>AP-20260227-000043</t>
  </si>
  <si>
    <t>AC-20260227-000039</t>
  </si>
  <si>
    <t>AP-20260227-000044</t>
  </si>
  <si>
    <t>AC-20260227-000040</t>
  </si>
  <si>
    <t>AP-20260227-000045</t>
  </si>
  <si>
    <t>AC-20260227-000041</t>
  </si>
  <si>
    <t>AP-20260227-000046</t>
  </si>
  <si>
    <t>AC-20260227-000042</t>
  </si>
  <si>
    <t>AP-20260227-000047</t>
  </si>
  <si>
    <t>AC-20260227-000043</t>
  </si>
  <si>
    <t>AP-20260227-000048</t>
  </si>
  <si>
    <t>AC-20260227-000044</t>
  </si>
  <si>
    <t>AP-20260227-000049</t>
  </si>
  <si>
    <t>AC-20260227-000045</t>
  </si>
  <si>
    <t>AP-20260227-000050</t>
  </si>
  <si>
    <t>AC-20260227-000046</t>
  </si>
  <si>
    <t>AP-20260227-000051</t>
  </si>
  <si>
    <t>AC-20260227-000047</t>
  </si>
  <si>
    <t>AP-20260227-000052</t>
  </si>
  <si>
    <t>AC-20260227-000048</t>
  </si>
  <si>
    <t>AP-20260227-000053</t>
  </si>
  <si>
    <t>AC-20260227-000049</t>
  </si>
  <si>
    <t>AP-20260227-000054</t>
  </si>
  <si>
    <t>AC-20260227-000050</t>
  </si>
  <si>
    <t>AP-20260227-000055</t>
  </si>
  <si>
    <t>AC-20260227-000051</t>
  </si>
  <si>
    <t>AP-20260227-000056</t>
  </si>
  <si>
    <t>AC-20260227-000052</t>
  </si>
  <si>
    <t>AP-20260227-000057</t>
  </si>
  <si>
    <t>AC-20260227-000053</t>
  </si>
  <si>
    <t>AP-20260227-000058</t>
  </si>
  <si>
    <t>AC-20260227-000054</t>
  </si>
  <si>
    <t>AP-20260227-000059</t>
  </si>
  <si>
    <t>AC-20260227-000055</t>
  </si>
  <si>
    <t>AP-20260227-000060</t>
  </si>
  <si>
    <t>AC-20260227-000056</t>
  </si>
  <si>
    <t>AP-20260227-000061</t>
  </si>
  <si>
    <t>AC-20260227-000057</t>
  </si>
  <si>
    <t>AP-20260227-000062</t>
  </si>
  <si>
    <t>AC-20260227-000058</t>
  </si>
  <si>
    <t>AP-20260227-000063</t>
  </si>
  <si>
    <t>AC-20260227-000059</t>
  </si>
  <si>
    <t>AP-20260227-000064</t>
  </si>
  <si>
    <t>AC-20260227-000060</t>
  </si>
  <si>
    <t>AP-20260227-000065</t>
  </si>
  <si>
    <t>AC-20260227-000061</t>
  </si>
  <si>
    <t>AP-20260227-000066</t>
  </si>
  <si>
    <t>AC-20260227-000062</t>
  </si>
  <si>
    <t>AP-20260227-000067</t>
  </si>
  <si>
    <t>AC-20260227-000063</t>
  </si>
  <si>
    <t>AP-20260227-000068</t>
  </si>
  <si>
    <t>AC-20260227-000064</t>
  </si>
  <si>
    <t>AP-20260227-000069</t>
  </si>
  <si>
    <t>AC-20260227-000065</t>
  </si>
  <si>
    <t>AP-20260227-000070</t>
  </si>
  <si>
    <t>AC-20260227-000066</t>
  </si>
  <si>
    <t>AP-20260227-000071</t>
  </si>
  <si>
    <t>AC-20260227-000067</t>
  </si>
  <si>
    <t>AP-20260227-000072</t>
  </si>
  <si>
    <t>AC-20260227-000068</t>
  </si>
  <si>
    <t>AP-20260227-000073</t>
  </si>
  <si>
    <t>AC-20260227-000069</t>
  </si>
  <si>
    <t>AP-20260227-000074</t>
  </si>
  <si>
    <t>AC-20260227-000070</t>
  </si>
  <si>
    <t>AP-20260227-000075</t>
  </si>
  <si>
    <t>AC-20260227-000071</t>
  </si>
  <si>
    <t>AP-20260227-000076</t>
  </si>
  <si>
    <t>AC-20260227-000072</t>
  </si>
  <si>
    <t>AP-20260227-000077</t>
  </si>
  <si>
    <t>AC-20260227-000073</t>
  </si>
  <si>
    <t>AP-20260227-000078</t>
  </si>
  <si>
    <t>AC-20260227-000074</t>
  </si>
  <si>
    <t>AP-20260227-000079</t>
  </si>
  <si>
    <t>AC-20260227-000075</t>
  </si>
  <si>
    <t>AP-20260227-000080</t>
  </si>
  <si>
    <t>AC-20260227-000076</t>
  </si>
  <si>
    <t>AP-20260227-000081</t>
  </si>
  <si>
    <t>AC-20260227-000077</t>
  </si>
  <si>
    <t>AP-20260227-000082</t>
  </si>
  <si>
    <t>AC-20260227-000078</t>
  </si>
  <si>
    <t>AP-20260227-000083</t>
  </si>
  <si>
    <t>AC-20260227-000079</t>
  </si>
  <si>
    <t>AP-20260227-000084</t>
  </si>
  <si>
    <t>AC-20260227-000080</t>
  </si>
  <si>
    <t>AP-20260227-000085</t>
  </si>
  <si>
    <t>AC-20260227-000081</t>
  </si>
  <si>
    <t>MK-20260227-000001</t>
  </si>
  <si>
    <t>PD-20260227-000001</t>
  </si>
  <si>
    <t>MK-20260227-000002</t>
  </si>
  <si>
    <t>MK-20260227-000003</t>
  </si>
  <si>
    <t>MK-20260227-000004</t>
  </si>
  <si>
    <t>MK-20260227-000005</t>
  </si>
  <si>
    <t>MK-20260227-000006</t>
  </si>
  <si>
    <t>PD-20260227-000002</t>
  </si>
  <si>
    <t>MK-20260227-000007</t>
  </si>
  <si>
    <t>MK-20260227-000008</t>
  </si>
  <si>
    <t>MK-20260227-000009</t>
  </si>
  <si>
    <t>MK-20260227-000010</t>
  </si>
  <si>
    <t>PD-20260227-000003</t>
  </si>
  <si>
    <t>MK-20260227-000011</t>
  </si>
  <si>
    <t>PD-20260227-000004</t>
  </si>
  <si>
    <t>MK-20260227-000012</t>
  </si>
  <si>
    <t>PD-20260227-000005</t>
  </si>
  <si>
    <t>MK-20260227-000013</t>
  </si>
  <si>
    <t>MK-20260227-000014</t>
  </si>
  <si>
    <t>PD-20260227-000006</t>
  </si>
  <si>
    <t>MK-20260227-000015</t>
  </si>
  <si>
    <t>PD-20260227-000007</t>
  </si>
  <si>
    <t>MK-20260227-000016</t>
  </si>
  <si>
    <t>PD-20260227-000008</t>
  </si>
  <si>
    <t>MK-20260227-000017</t>
  </si>
  <si>
    <t>PD-20260227-000009</t>
  </si>
  <si>
    <t>MK-20260227-000018</t>
  </si>
  <si>
    <t>PD-20260227-000010</t>
  </si>
  <si>
    <t>MK-20260227-000019</t>
  </si>
  <si>
    <t>MK-20260227-000020</t>
  </si>
  <si>
    <t>PD-20260227-000011</t>
  </si>
  <si>
    <t>MK-20260227-000021</t>
  </si>
  <si>
    <t>PD-20260227-000012</t>
  </si>
  <si>
    <t>MK-20260227-000022</t>
  </si>
  <si>
    <t>PD-20260227-000013</t>
  </si>
  <si>
    <t>MK-20260227-000023</t>
  </si>
  <si>
    <t>PD-20260227-000019</t>
  </si>
  <si>
    <t>MK-20260227-000024</t>
  </si>
  <si>
    <t>MK-20260227-000025</t>
  </si>
  <si>
    <t>PD-20260227-000020</t>
  </si>
  <si>
    <t>MK-20260227-000026</t>
  </si>
  <si>
    <t>PD-20260227-000021</t>
  </si>
  <si>
    <t>MK-20260227-000027</t>
  </si>
  <si>
    <t>PD-20260227-000014</t>
  </si>
  <si>
    <t>MK-20260227-000028</t>
  </si>
  <si>
    <t>MK-20260227-000029</t>
  </si>
  <si>
    <t>PD-20260227-000015</t>
  </si>
  <si>
    <t>MK-20260227-000030</t>
  </si>
  <si>
    <t>PD-20260227-000016</t>
  </si>
  <si>
    <t>MK-20260227-000031</t>
  </si>
  <si>
    <t>MK-20260227-000032</t>
  </si>
  <si>
    <t>PD-20260227-000017</t>
  </si>
  <si>
    <t>MK-20260227-000033</t>
  </si>
  <si>
    <t>PD-20260227-000018</t>
  </si>
  <si>
    <t>GN-20260227-000001</t>
  </si>
  <si>
    <t>CT-20260227-000001</t>
  </si>
  <si>
    <t>GN-20260227-000002</t>
  </si>
  <si>
    <t>CT-20260227-000002</t>
  </si>
  <si>
    <t>GN-20260227-000003</t>
  </si>
  <si>
    <t>CT-20260227-000003</t>
  </si>
  <si>
    <t>GN-20260227-000004</t>
  </si>
  <si>
    <t>CT-20260227-000004</t>
  </si>
  <si>
    <t>GN-20260227-000005</t>
  </si>
  <si>
    <t>GN-20260227-000006</t>
  </si>
  <si>
    <t>GN-20260227-000007</t>
  </si>
  <si>
    <t>CT-20260227-000005</t>
  </si>
  <si>
    <t>GN-20260227-000008</t>
  </si>
  <si>
    <t>CT-20260227-000006</t>
  </si>
  <si>
    <t>GN-20260227-000009</t>
  </si>
  <si>
    <t>GN-20260227-000010</t>
  </si>
  <si>
    <t>GN-20260227-000011</t>
  </si>
  <si>
    <t>GN-20260227-000012</t>
  </si>
  <si>
    <t>GN-20260227-000013</t>
  </si>
  <si>
    <t>GN-20260227-000014</t>
  </si>
  <si>
    <t>CT-20260227-000007</t>
  </si>
  <si>
    <t>GN-20260227-000015</t>
  </si>
  <si>
    <t>CT-20260227-000008</t>
  </si>
  <si>
    <t>GN-20260227-000016</t>
  </si>
  <si>
    <t>GN-20260227-000017</t>
  </si>
  <si>
    <t>GN-20260227-000018</t>
  </si>
  <si>
    <t>CT-20260227-000009</t>
  </si>
  <si>
    <t>GN-20260227-000019</t>
  </si>
  <si>
    <t>CT-20260227-000010</t>
  </si>
  <si>
    <t>GN-20260227-000020</t>
  </si>
  <si>
    <t>CT-20260227-000011</t>
  </si>
  <si>
    <t>GN-20260227-000021</t>
  </si>
  <si>
    <t>CT-20260227-000012</t>
  </si>
  <si>
    <t>GN-20260227-000022</t>
  </si>
  <si>
    <t>CT-20260227-000013</t>
  </si>
  <si>
    <t>GN-20260227-000023</t>
  </si>
  <si>
    <t>GN-20260227-000024</t>
  </si>
  <si>
    <t>GN-20260227-000025</t>
  </si>
  <si>
    <t>GN-20260227-000026</t>
  </si>
  <si>
    <t>CT-20260227-000014</t>
  </si>
  <si>
    <t>GN-20260227-000027</t>
  </si>
  <si>
    <t>GN-20260227-000028</t>
  </si>
  <si>
    <t>GN-20260227-000029</t>
  </si>
  <si>
    <t>GN-20260227-000030</t>
  </si>
  <si>
    <t>GN-20260227-000031</t>
  </si>
  <si>
    <t>GN-20260227-000032</t>
  </si>
  <si>
    <t>GN-20260227-000033</t>
  </si>
  <si>
    <t>GN-20260227-000034</t>
  </si>
  <si>
    <t>CT-20260227-000015</t>
  </si>
  <si>
    <t>CT-20260227-000016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</si>
</sst>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26" formatCode="\$#,##0.00_);[Red]\(\$#,##0.00\)"/>
  </numFmts>
  <fonts count="7" x14ac:knownFonts="1">
    <font>
      <sz val="11"/>
      <color theme="1"/>
      <name val="맑은 고딕"/>
      <family val="2"/>
      <charset val="129"/>
      <scheme val="minor"/>
    </font>
    <font>
      <sz val="11"/>
      <color rgb="FF9C0006"/>
      <name val="맑은 고딕"/>
      <family val="2"/>
      <charset val="129"/>
      <scheme val="minor"/>
    </font>
    <font>
      <sz val="8"/>
      <name val="맑은 고딕"/>
      <family val="2"/>
      <charset val="129"/>
      <scheme val="minor"/>
    </font>
    <font>
      <sz val="11"/>
      <color theme="1"/>
      <name val="맑은 고딕"/>
      <family val="3"/>
      <charset val="129"/>
      <scheme val="major"/>
    </font>
    <font>
      <sz val="11"/>
      <color rgb="FF9C0006"/>
      <name val="맑은 고딕"/>
      <family val="3"/>
      <charset val="129"/>
      <scheme val="major"/>
    </font>
    <font>
      <sz val="11"/>
      <color rgb="FF000000"/>
      <name val="맑은 고딕"/>
      <family val="3"/>
      <charset val="129"/>
      <scheme val="major"/>
    </font>
    <font>
      <sz val="11"/>
      <color rgb="FF000000"/>
      <name val="Noto Sans KR"/>
      <family val="3"/>
      <charset val="129"/>
    </font>
  </fonts>
  <fills count="6">
    <fill>
      <patternFill patternType="none"/>
    </fill>
    <fill>
      <patternFill patternType="gray125"/>
    </fill>
    <fill>
      <patternFill patternType="solid">
        <fgColor rgb="FFFFC7CE"/>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s>
  <borders count="1">
    <border>
      <left/>
      <right/>
      <top/>
      <bottom/>
      <diagonal/>
    </border>
  </borders>
  <cellStyleXfs count="2">
    <xf numFmtId="0" fontId="0" fillId="0" borderId="0">
      <alignment vertical="center"/>
    </xf>
    <xf numFmtId="0" fontId="1" fillId="2" borderId="0" applyNumberFormat="0" applyBorder="0" applyAlignment="0" applyProtection="0">
      <alignment vertical="center"/>
    </xf>
  </cellStyleXfs>
  <cellXfs count="18">
    <xf numFmtId="0" fontId="0" fillId="0" borderId="0" xfId="0">
      <alignment vertical="center"/>
    </xf>
    <xf numFmtId="14" fontId="0" fillId="0" borderId="0" xfId="0" applyNumberFormat="1">
      <alignment vertical="center"/>
    </xf>
    <xf numFmtId="0" fontId="0" fillId="3" borderId="0" xfId="0" applyFill="1">
      <alignment vertical="center"/>
    </xf>
    <xf numFmtId="0" fontId="0" fillId="4" borderId="0" xfId="0" applyFill="1">
      <alignment vertical="center"/>
    </xf>
    <xf numFmtId="0" fontId="0" fillId="5" borderId="0" xfId="0" applyFill="1">
      <alignment vertical="center"/>
    </xf>
    <xf numFmtId="0" fontId="1" fillId="2" borderId="0" xfId="1">
      <alignment vertical="center"/>
    </xf>
    <xf numFmtId="26" fontId="0" fillId="0" borderId="0" xfId="0" applyNumberFormat="1">
      <alignment vertical="center"/>
    </xf>
    <xf numFmtId="0" fontId="0" fillId="0" borderId="0" xfId="0" applyAlignment="1">
      <alignment horizontal="left" vertical="center"/>
    </xf>
    <xf numFmtId="0" fontId="0" fillId="4" borderId="0" xfId="0" applyFill="1" applyAlignment="1">
      <alignment horizontal="left" vertical="center"/>
    </xf>
    <xf numFmtId="0" fontId="0" fillId="5" borderId="0" xfId="0" applyFill="1" applyAlignment="1">
      <alignment horizontal="left" vertical="center"/>
    </xf>
    <xf numFmtId="0" fontId="3" fillId="0" borderId="0" xfId="0" applyFont="1">
      <alignment vertical="center"/>
    </xf>
    <xf numFmtId="26" fontId="3" fillId="0" borderId="0" xfId="0" applyNumberFormat="1" applyFont="1">
      <alignment vertical="center"/>
    </xf>
    <xf numFmtId="0" fontId="4" fillId="2" borderId="0" xfId="1" applyFont="1">
      <alignment vertical="center"/>
    </xf>
    <xf numFmtId="26" fontId="5" fillId="0" borderId="0" xfId="0" applyNumberFormat="1" applyFont="1">
      <alignment vertical="center"/>
    </xf>
    <xf numFmtId="0" fontId="5" fillId="0" borderId="0" xfId="0" applyFont="1">
      <alignment vertical="center"/>
    </xf>
    <xf numFmtId="0" fontId="0" fillId="0" borderId="0" xfId="0" applyAlignment="1">
      <alignment horizontal="center" vertical="center"/>
    </xf>
    <xf numFmtId="0" fontId="1" fillId="2" borderId="0" xfId="1" applyAlignment="1">
      <alignment horizontal="center" vertical="center"/>
    </xf>
    <xf numFmtId="0" fontId="0" fillId="0" borderId="0" xfId="0" quotePrefix="1">
      <alignment vertical="center"/>
    </xf>
  </cellXfs>
  <cellStyles count="2">
    <cellStyle name="나쁨" xfId="1" builtinId="27"/>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3660D-DEA8-40BF-85FE-57950BCE5E16}">
  <dimension ref="A1:O12"/>
  <sheetViews>
    <sheetView zoomScale="85" zoomScaleNormal="85" workbookViewId="0">
      <selection activeCell="C13" sqref="C13"/>
    </sheetView>
  </sheetViews>
  <sheetFormatPr defaultRowHeight="16.5" x14ac:dyDescent="0.3"/>
  <cols>
    <col min="1" max="1" width="21.5" style="9" customWidth="1"/>
    <col min="2" max="2" width="17.5" style="7" bestFit="1" customWidth="1"/>
    <col min="3" max="3" width="36.625" style="7" bestFit="1" customWidth="1"/>
    <col min="4" max="4" width="9" style="15"/>
    <col min="5" max="5" width="10.25" bestFit="1" customWidth="1"/>
    <col min="6" max="6" width="9" style="15"/>
    <col min="7" max="7" width="9.625" style="15" bestFit="1" customWidth="1"/>
    <col min="8" max="8" width="44.25" bestFit="1" customWidth="1"/>
    <col min="9" max="9" width="15.125" customWidth="1"/>
    <col min="10" max="10" width="14.375" customWidth="1"/>
    <col min="11" max="11" width="9.625" bestFit="1" customWidth="1"/>
    <col min="12" max="12" width="7.125" bestFit="1" customWidth="1"/>
    <col min="13" max="14" width="15.875" bestFit="1" customWidth="1"/>
    <col min="15" max="15" width="16.5" bestFit="1" customWidth="1"/>
  </cols>
  <sheetData>
    <row r="1" spans="1:15" x14ac:dyDescent="0.3">
      <c r="A1" s="9" t="s">
        <v>282</v>
      </c>
      <c r="B1" s="7" t="s">
        <v>0</v>
      </c>
      <c r="C1" s="7" t="s">
        <v>2</v>
      </c>
      <c r="D1" s="15" t="s">
        <v>4</v>
      </c>
      <c r="E1" t="s">
        <v>5</v>
      </c>
      <c r="F1" s="15" t="s">
        <v>7</v>
      </c>
      <c r="G1" s="15" t="s">
        <v>23</v>
      </c>
      <c r="H1" t="s">
        <v>24</v>
      </c>
      <c r="I1" t="s">
        <v>27</v>
      </c>
      <c r="J1" t="s">
        <v>49</v>
      </c>
      <c r="K1" t="s">
        <v>50</v>
      </c>
      <c r="L1" t="s">
        <v>51</v>
      </c>
      <c r="M1" t="s">
        <v>52</v>
      </c>
      <c r="N1" t="s">
        <v>53</v>
      </c>
    </row>
    <row r="2" spans="1:15" x14ac:dyDescent="0.3">
      <c r="A2" s="9" t="s">
        <v>409</v>
      </c>
      <c r="B2" s="7" t="s">
        <v>1</v>
      </c>
      <c r="C2" s="7" t="s">
        <v>3</v>
      </c>
      <c r="D2" s="15">
        <v>12</v>
      </c>
      <c r="E2" s="1" t="s">
        <v>6</v>
      </c>
      <c r="F2" s="15" t="s">
        <v>8</v>
      </c>
      <c r="G2" s="15">
        <v>96</v>
      </c>
      <c r="H2" t="s">
        <v>25</v>
      </c>
      <c r="I2" t="s">
        <v>29</v>
      </c>
      <c r="J2" s="10" t="s">
        <v>54</v>
      </c>
      <c r="K2" s="10" t="s">
        <v>55</v>
      </c>
      <c r="L2" s="10" t="s">
        <v>56</v>
      </c>
      <c r="M2" s="13">
        <v>100000000</v>
      </c>
      <c r="N2" s="11">
        <v>24690793</v>
      </c>
      <c r="O2" s="6"/>
    </row>
    <row r="3" spans="1:15" x14ac:dyDescent="0.3">
      <c r="A3" s="9" t="s">
        <v>410</v>
      </c>
      <c r="B3" s="7" t="s">
        <v>16</v>
      </c>
      <c r="C3" s="7" t="s">
        <v>17</v>
      </c>
      <c r="D3" s="15" t="s">
        <v>18</v>
      </c>
      <c r="E3" s="1" t="s">
        <v>19</v>
      </c>
      <c r="F3" s="15" t="s">
        <v>20</v>
      </c>
      <c r="G3" s="15">
        <v>92</v>
      </c>
      <c r="H3" t="s">
        <v>26</v>
      </c>
      <c r="I3" t="s">
        <v>28</v>
      </c>
      <c r="J3" s="10" t="s">
        <v>57</v>
      </c>
      <c r="K3" s="10" t="s">
        <v>55</v>
      </c>
      <c r="L3" s="10" t="s">
        <v>56</v>
      </c>
      <c r="M3" s="13">
        <v>1500000</v>
      </c>
      <c r="N3" s="12"/>
      <c r="O3" s="6"/>
    </row>
    <row r="4" spans="1:15" x14ac:dyDescent="0.3">
      <c r="A4" s="9" t="s">
        <v>411</v>
      </c>
      <c r="B4" s="7" t="s">
        <v>37</v>
      </c>
      <c r="C4" s="7" t="s">
        <v>38</v>
      </c>
      <c r="D4" s="16"/>
      <c r="E4" s="5"/>
      <c r="F4" s="16"/>
      <c r="G4" s="16"/>
      <c r="H4" s="5"/>
      <c r="I4" t="s">
        <v>41</v>
      </c>
      <c r="J4" s="12"/>
      <c r="K4" s="10" t="s">
        <v>58</v>
      </c>
      <c r="L4" s="10" t="s">
        <v>56</v>
      </c>
      <c r="M4" s="12"/>
      <c r="N4" s="12"/>
      <c r="O4" s="6"/>
    </row>
    <row r="5" spans="1:15" ht="18" x14ac:dyDescent="0.3">
      <c r="A5" s="9" t="s">
        <v>412</v>
      </c>
      <c r="B5" s="7" t="s">
        <v>110</v>
      </c>
      <c r="C5" s="7" t="s">
        <v>111</v>
      </c>
      <c r="D5" s="15">
        <v>15</v>
      </c>
      <c r="E5" t="s">
        <v>112</v>
      </c>
      <c r="F5" s="15" t="s">
        <v>8</v>
      </c>
      <c r="G5" s="15">
        <v>100</v>
      </c>
      <c r="H5" t="s">
        <v>113</v>
      </c>
      <c r="I5" s="10" t="s">
        <v>281</v>
      </c>
      <c r="J5" s="14" t="s">
        <v>403</v>
      </c>
      <c r="K5" s="10" t="s">
        <v>55</v>
      </c>
      <c r="L5" s="10" t="s">
        <v>114</v>
      </c>
      <c r="M5" s="13">
        <v>4100000</v>
      </c>
      <c r="N5" s="13">
        <v>174502910</v>
      </c>
      <c r="O5" s="6"/>
    </row>
    <row r="6" spans="1:15" x14ac:dyDescent="0.3">
      <c r="A6" s="9" t="s">
        <v>413</v>
      </c>
      <c r="B6" s="7" t="s">
        <v>115</v>
      </c>
      <c r="C6" s="7" t="s">
        <v>116</v>
      </c>
      <c r="D6" s="15" t="s">
        <v>117</v>
      </c>
      <c r="E6" t="s">
        <v>118</v>
      </c>
      <c r="F6" s="15" t="s">
        <v>119</v>
      </c>
      <c r="G6" s="15">
        <v>87</v>
      </c>
      <c r="H6" t="s">
        <v>123</v>
      </c>
      <c r="I6" s="10" t="s">
        <v>404</v>
      </c>
      <c r="J6" s="14" t="s">
        <v>405</v>
      </c>
      <c r="K6" s="10" t="s">
        <v>55</v>
      </c>
      <c r="L6" s="10" t="s">
        <v>56</v>
      </c>
      <c r="M6" s="13">
        <v>100420</v>
      </c>
      <c r="N6" s="11">
        <v>567000</v>
      </c>
      <c r="O6" s="6"/>
    </row>
    <row r="7" spans="1:15" x14ac:dyDescent="0.3">
      <c r="A7" s="4" t="s">
        <v>414</v>
      </c>
      <c r="B7" t="s">
        <v>120</v>
      </c>
      <c r="C7" t="s">
        <v>121</v>
      </c>
      <c r="D7">
        <v>18</v>
      </c>
      <c r="E7" t="s">
        <v>122</v>
      </c>
      <c r="F7" t="s">
        <v>8</v>
      </c>
      <c r="G7">
        <v>152</v>
      </c>
      <c r="H7" t="s">
        <v>124</v>
      </c>
      <c r="I7" t="s">
        <v>125</v>
      </c>
      <c r="J7" t="s">
        <v>406</v>
      </c>
      <c r="K7" t="s">
        <v>55</v>
      </c>
      <c r="L7" t="s">
        <v>56</v>
      </c>
      <c r="M7">
        <v>70000000</v>
      </c>
      <c r="N7">
        <v>321457747</v>
      </c>
    </row>
    <row r="8" spans="1:15" x14ac:dyDescent="0.3">
      <c r="A8" s="4" t="s">
        <v>415</v>
      </c>
      <c r="B8" t="s">
        <v>126</v>
      </c>
      <c r="C8" t="s">
        <v>127</v>
      </c>
      <c r="D8">
        <v>19</v>
      </c>
      <c r="E8" t="s">
        <v>128</v>
      </c>
      <c r="F8" t="s">
        <v>8</v>
      </c>
      <c r="G8">
        <v>116</v>
      </c>
      <c r="H8" t="s">
        <v>129</v>
      </c>
      <c r="I8" t="s">
        <v>407</v>
      </c>
      <c r="J8" t="s">
        <v>408</v>
      </c>
      <c r="K8" t="s">
        <v>55</v>
      </c>
      <c r="L8" t="s">
        <v>56</v>
      </c>
      <c r="M8">
        <v>65000000</v>
      </c>
      <c r="N8" s="5"/>
    </row>
    <row r="9" spans="1:15" x14ac:dyDescent="0.3">
      <c r="A9" s="4" t="s">
        <v>416</v>
      </c>
      <c r="B9" t="s">
        <v>130</v>
      </c>
      <c r="C9">
        <v>1917</v>
      </c>
      <c r="D9">
        <v>15</v>
      </c>
      <c r="E9" t="s">
        <v>131</v>
      </c>
      <c r="F9" t="s">
        <v>8</v>
      </c>
      <c r="G9">
        <v>119</v>
      </c>
      <c r="H9" t="s">
        <v>132</v>
      </c>
      <c r="I9" t="s">
        <v>133</v>
      </c>
      <c r="K9" t="s">
        <v>55</v>
      </c>
      <c r="L9" t="s">
        <v>56</v>
      </c>
      <c r="M9">
        <v>100000000</v>
      </c>
      <c r="N9">
        <v>446064352</v>
      </c>
    </row>
    <row r="10" spans="1:15" x14ac:dyDescent="0.3">
      <c r="A10" s="4" t="s">
        <v>417</v>
      </c>
      <c r="B10" t="s">
        <v>134</v>
      </c>
      <c r="C10" t="s">
        <v>135</v>
      </c>
      <c r="D10">
        <v>12</v>
      </c>
      <c r="E10" t="s">
        <v>136</v>
      </c>
      <c r="F10" t="s">
        <v>8</v>
      </c>
      <c r="G10">
        <v>148</v>
      </c>
      <c r="H10" t="s">
        <v>137</v>
      </c>
      <c r="I10" t="s">
        <v>138</v>
      </c>
      <c r="J10" t="s">
        <v>139</v>
      </c>
      <c r="K10" t="s">
        <v>55</v>
      </c>
      <c r="L10" t="s">
        <v>56</v>
      </c>
      <c r="M10">
        <v>160000000</v>
      </c>
      <c r="N10">
        <v>839030630</v>
      </c>
    </row>
    <row r="11" spans="1:15" x14ac:dyDescent="0.3">
      <c r="A11" s="4" t="s">
        <v>418</v>
      </c>
      <c r="B11" t="s">
        <v>216</v>
      </c>
      <c r="C11" t="s">
        <v>217</v>
      </c>
      <c r="D11">
        <v>19</v>
      </c>
      <c r="E11" t="s">
        <v>218</v>
      </c>
      <c r="F11" t="s">
        <v>8</v>
      </c>
      <c r="G11">
        <v>101</v>
      </c>
      <c r="H11" t="s">
        <v>219</v>
      </c>
      <c r="I11" t="s">
        <v>220</v>
      </c>
      <c r="J11" t="s">
        <v>221</v>
      </c>
      <c r="K11" t="s">
        <v>55</v>
      </c>
      <c r="L11" t="s">
        <v>56</v>
      </c>
      <c r="M11">
        <v>20000000</v>
      </c>
      <c r="N11">
        <v>88761661</v>
      </c>
    </row>
    <row r="12" spans="1:15" x14ac:dyDescent="0.3">
      <c r="M12" s="7"/>
      <c r="N12" s="7"/>
      <c r="O12" s="7"/>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EE6C8-974B-4FCC-A353-5E78B41BD4D5}">
  <dimension ref="A1:E87"/>
  <sheetViews>
    <sheetView workbookViewId="0">
      <selection activeCell="C29" sqref="C29"/>
    </sheetView>
  </sheetViews>
  <sheetFormatPr defaultRowHeight="16.5" x14ac:dyDescent="0.3"/>
  <cols>
    <col min="1" max="1" width="20.375" style="4" bestFit="1" customWidth="1"/>
    <col min="2" max="2" width="33.125" style="8" customWidth="1"/>
    <col min="3" max="3" width="30.75" style="8" customWidth="1"/>
    <col min="4" max="4" width="26.625" bestFit="1" customWidth="1"/>
  </cols>
  <sheetData>
    <row r="1" spans="1:5" x14ac:dyDescent="0.3">
      <c r="A1" s="4" t="s">
        <v>59</v>
      </c>
      <c r="B1" s="8" t="s">
        <v>15</v>
      </c>
      <c r="C1" s="8" t="s">
        <v>71</v>
      </c>
      <c r="D1" t="s">
        <v>60</v>
      </c>
    </row>
    <row r="2" spans="1:5" x14ac:dyDescent="0.3">
      <c r="A2" s="4" t="s">
        <v>419</v>
      </c>
      <c r="B2" s="8" t="s">
        <v>409</v>
      </c>
      <c r="C2" s="8" t="s">
        <v>420</v>
      </c>
      <c r="D2" t="s">
        <v>72</v>
      </c>
      <c r="E2">
        <f>LEN(D2)</f>
        <v>12</v>
      </c>
    </row>
    <row r="3" spans="1:5" x14ac:dyDescent="0.3">
      <c r="A3" s="4" t="s">
        <v>421</v>
      </c>
      <c r="B3" s="8" t="s">
        <v>409</v>
      </c>
      <c r="C3" s="8" t="s">
        <v>422</v>
      </c>
      <c r="D3" t="s">
        <v>73</v>
      </c>
      <c r="E3">
        <f t="shared" ref="E3:E66" si="0">LEN(D3)</f>
        <v>12</v>
      </c>
    </row>
    <row r="4" spans="1:5" x14ac:dyDescent="0.3">
      <c r="A4" s="4" t="s">
        <v>423</v>
      </c>
      <c r="B4" s="8" t="s">
        <v>409</v>
      </c>
      <c r="C4" s="8" t="s">
        <v>424</v>
      </c>
      <c r="D4" t="s">
        <v>74</v>
      </c>
      <c r="E4">
        <f t="shared" si="0"/>
        <v>12</v>
      </c>
    </row>
    <row r="5" spans="1:5" x14ac:dyDescent="0.3">
      <c r="A5" s="4" t="s">
        <v>425</v>
      </c>
      <c r="B5" s="8" t="s">
        <v>409</v>
      </c>
      <c r="C5" s="8" t="s">
        <v>426</v>
      </c>
      <c r="D5" t="s">
        <v>75</v>
      </c>
      <c r="E5">
        <f t="shared" si="0"/>
        <v>12</v>
      </c>
    </row>
    <row r="6" spans="1:5" x14ac:dyDescent="0.3">
      <c r="A6" s="4" t="s">
        <v>427</v>
      </c>
      <c r="B6" s="8" t="s">
        <v>409</v>
      </c>
      <c r="C6" s="8" t="s">
        <v>428</v>
      </c>
      <c r="D6" t="s">
        <v>76</v>
      </c>
      <c r="E6">
        <f t="shared" si="0"/>
        <v>14</v>
      </c>
    </row>
    <row r="7" spans="1:5" x14ac:dyDescent="0.3">
      <c r="A7" s="4" t="s">
        <v>429</v>
      </c>
      <c r="B7" s="8" t="s">
        <v>409</v>
      </c>
      <c r="C7" s="8" t="s">
        <v>430</v>
      </c>
      <c r="D7" t="s">
        <v>77</v>
      </c>
      <c r="E7">
        <f t="shared" si="0"/>
        <v>13</v>
      </c>
    </row>
    <row r="8" spans="1:5" x14ac:dyDescent="0.3">
      <c r="A8" s="4" t="s">
        <v>431</v>
      </c>
      <c r="B8" s="8" t="s">
        <v>409</v>
      </c>
      <c r="C8" s="8" t="s">
        <v>432</v>
      </c>
      <c r="D8" t="s">
        <v>78</v>
      </c>
      <c r="E8">
        <f t="shared" si="0"/>
        <v>14</v>
      </c>
    </row>
    <row r="9" spans="1:5" x14ac:dyDescent="0.3">
      <c r="A9" s="4" t="s">
        <v>433</v>
      </c>
      <c r="B9" s="8" t="s">
        <v>409</v>
      </c>
      <c r="C9" s="8" t="s">
        <v>434</v>
      </c>
      <c r="D9" t="s">
        <v>80</v>
      </c>
      <c r="E9">
        <f t="shared" si="0"/>
        <v>18</v>
      </c>
    </row>
    <row r="10" spans="1:5" x14ac:dyDescent="0.3">
      <c r="A10" s="4" t="s">
        <v>435</v>
      </c>
      <c r="B10" s="8" t="s">
        <v>409</v>
      </c>
      <c r="C10" s="8" t="s">
        <v>434</v>
      </c>
      <c r="D10" t="s">
        <v>79</v>
      </c>
      <c r="E10">
        <f t="shared" si="0"/>
        <v>25</v>
      </c>
    </row>
    <row r="11" spans="1:5" x14ac:dyDescent="0.3">
      <c r="A11" s="4" t="s">
        <v>436</v>
      </c>
      <c r="B11" s="8" t="s">
        <v>409</v>
      </c>
      <c r="C11" s="8" t="s">
        <v>434</v>
      </c>
      <c r="D11" t="s">
        <v>81</v>
      </c>
      <c r="E11">
        <f t="shared" si="0"/>
        <v>27</v>
      </c>
    </row>
    <row r="12" spans="1:5" x14ac:dyDescent="0.3">
      <c r="A12" s="4" t="s">
        <v>437</v>
      </c>
      <c r="B12" s="8" t="s">
        <v>409</v>
      </c>
      <c r="C12" s="8" t="s">
        <v>438</v>
      </c>
      <c r="D12" t="s">
        <v>82</v>
      </c>
      <c r="E12">
        <f t="shared" si="0"/>
        <v>17</v>
      </c>
    </row>
    <row r="13" spans="1:5" x14ac:dyDescent="0.3">
      <c r="A13" s="4" t="s">
        <v>439</v>
      </c>
      <c r="B13" s="8" t="s">
        <v>409</v>
      </c>
      <c r="C13" s="8" t="s">
        <v>438</v>
      </c>
      <c r="D13" t="s">
        <v>83</v>
      </c>
      <c r="E13">
        <f t="shared" si="0"/>
        <v>20</v>
      </c>
    </row>
    <row r="14" spans="1:5" x14ac:dyDescent="0.3">
      <c r="A14" s="4" t="s">
        <v>440</v>
      </c>
      <c r="B14" s="8" t="s">
        <v>410</v>
      </c>
      <c r="C14" s="8" t="s">
        <v>441</v>
      </c>
      <c r="D14" t="s">
        <v>95</v>
      </c>
      <c r="E14">
        <f t="shared" si="0"/>
        <v>6</v>
      </c>
    </row>
    <row r="15" spans="1:5" x14ac:dyDescent="0.3">
      <c r="A15" s="4" t="s">
        <v>442</v>
      </c>
      <c r="B15" s="8" t="s">
        <v>410</v>
      </c>
      <c r="C15" s="8" t="s">
        <v>443</v>
      </c>
      <c r="D15" t="s">
        <v>96</v>
      </c>
      <c r="E15">
        <f t="shared" si="0"/>
        <v>4</v>
      </c>
    </row>
    <row r="16" spans="1:5" x14ac:dyDescent="0.3">
      <c r="A16" s="4" t="s">
        <v>444</v>
      </c>
      <c r="B16" s="8" t="s">
        <v>410</v>
      </c>
      <c r="C16" s="8" t="s">
        <v>445</v>
      </c>
      <c r="D16" t="s">
        <v>97</v>
      </c>
      <c r="E16">
        <f t="shared" si="0"/>
        <v>4</v>
      </c>
    </row>
    <row r="17" spans="1:5" x14ac:dyDescent="0.3">
      <c r="A17" s="4" t="s">
        <v>446</v>
      </c>
      <c r="B17" s="8" t="s">
        <v>410</v>
      </c>
      <c r="C17" s="8" t="s">
        <v>447</v>
      </c>
      <c r="D17" t="s">
        <v>98</v>
      </c>
      <c r="E17">
        <f t="shared" si="0"/>
        <v>5</v>
      </c>
    </row>
    <row r="18" spans="1:5" x14ac:dyDescent="0.3">
      <c r="A18" s="4" t="s">
        <v>448</v>
      </c>
      <c r="B18" s="8" t="s">
        <v>410</v>
      </c>
      <c r="C18" s="8" t="s">
        <v>449</v>
      </c>
      <c r="D18" t="s">
        <v>99</v>
      </c>
      <c r="E18">
        <f t="shared" si="0"/>
        <v>5</v>
      </c>
    </row>
    <row r="19" spans="1:5" x14ac:dyDescent="0.3">
      <c r="A19" s="4" t="s">
        <v>450</v>
      </c>
      <c r="B19" s="8" t="s">
        <v>410</v>
      </c>
      <c r="C19" s="8" t="s">
        <v>451</v>
      </c>
      <c r="D19" t="s">
        <v>100</v>
      </c>
      <c r="E19">
        <f t="shared" si="0"/>
        <v>4</v>
      </c>
    </row>
    <row r="20" spans="1:5" x14ac:dyDescent="0.3">
      <c r="A20" s="4" t="s">
        <v>452</v>
      </c>
      <c r="B20" s="8" t="s">
        <v>410</v>
      </c>
      <c r="C20" s="8" t="s">
        <v>453</v>
      </c>
      <c r="D20" t="s">
        <v>101</v>
      </c>
      <c r="E20">
        <f t="shared" si="0"/>
        <v>9</v>
      </c>
    </row>
    <row r="21" spans="1:5" x14ac:dyDescent="0.3">
      <c r="A21" s="4" t="s">
        <v>454</v>
      </c>
      <c r="B21" s="8" t="s">
        <v>410</v>
      </c>
      <c r="C21" s="8" t="s">
        <v>455</v>
      </c>
      <c r="D21" t="s">
        <v>102</v>
      </c>
      <c r="E21">
        <f t="shared" si="0"/>
        <v>8</v>
      </c>
    </row>
    <row r="22" spans="1:5" x14ac:dyDescent="0.3">
      <c r="A22" s="4" t="s">
        <v>456</v>
      </c>
      <c r="B22" s="8" t="s">
        <v>410</v>
      </c>
      <c r="C22" s="8" t="s">
        <v>457</v>
      </c>
      <c r="D22" t="s">
        <v>103</v>
      </c>
      <c r="E22">
        <f t="shared" si="0"/>
        <v>5</v>
      </c>
    </row>
    <row r="23" spans="1:5" x14ac:dyDescent="0.3">
      <c r="A23" s="4" t="s">
        <v>458</v>
      </c>
      <c r="B23" s="8" t="s">
        <v>412</v>
      </c>
      <c r="C23" s="8" t="s">
        <v>459</v>
      </c>
      <c r="D23" t="s">
        <v>149</v>
      </c>
      <c r="E23">
        <f t="shared" si="0"/>
        <v>13</v>
      </c>
    </row>
    <row r="24" spans="1:5" x14ac:dyDescent="0.3">
      <c r="A24" s="4" t="s">
        <v>460</v>
      </c>
      <c r="B24" s="8" t="s">
        <v>412</v>
      </c>
      <c r="C24" s="8" t="s">
        <v>461</v>
      </c>
      <c r="D24" t="s">
        <v>150</v>
      </c>
      <c r="E24">
        <f t="shared" si="0"/>
        <v>12</v>
      </c>
    </row>
    <row r="25" spans="1:5" x14ac:dyDescent="0.3">
      <c r="A25" s="4" t="s">
        <v>462</v>
      </c>
      <c r="B25" s="8" t="s">
        <v>412</v>
      </c>
      <c r="C25" s="8" t="s">
        <v>463</v>
      </c>
      <c r="D25" t="s">
        <v>151</v>
      </c>
      <c r="E25">
        <f t="shared" si="0"/>
        <v>14</v>
      </c>
    </row>
    <row r="26" spans="1:5" x14ac:dyDescent="0.3">
      <c r="A26" s="4" t="s">
        <v>464</v>
      </c>
      <c r="B26" s="8" t="s">
        <v>412</v>
      </c>
      <c r="C26" s="8" t="s">
        <v>465</v>
      </c>
      <c r="D26" t="s">
        <v>152</v>
      </c>
      <c r="E26">
        <f t="shared" si="0"/>
        <v>11</v>
      </c>
    </row>
    <row r="27" spans="1:5" x14ac:dyDescent="0.3">
      <c r="A27" s="4" t="s">
        <v>466</v>
      </c>
      <c r="B27" s="8" t="s">
        <v>412</v>
      </c>
      <c r="C27" s="8" t="s">
        <v>467</v>
      </c>
      <c r="D27" t="s">
        <v>153</v>
      </c>
      <c r="E27">
        <f t="shared" si="0"/>
        <v>19</v>
      </c>
    </row>
    <row r="28" spans="1:5" x14ac:dyDescent="0.3">
      <c r="A28" s="4" t="s">
        <v>468</v>
      </c>
      <c r="B28" s="8" t="s">
        <v>412</v>
      </c>
      <c r="C28" s="8" t="s">
        <v>469</v>
      </c>
      <c r="D28" t="s">
        <v>154</v>
      </c>
      <c r="E28">
        <f t="shared" si="0"/>
        <v>12</v>
      </c>
    </row>
    <row r="29" spans="1:5" x14ac:dyDescent="0.3">
      <c r="A29" s="4" t="s">
        <v>470</v>
      </c>
      <c r="B29" s="8" t="s">
        <v>412</v>
      </c>
      <c r="C29" s="8" t="s">
        <v>471</v>
      </c>
      <c r="D29" t="s">
        <v>155</v>
      </c>
      <c r="E29">
        <f t="shared" si="0"/>
        <v>14</v>
      </c>
    </row>
    <row r="30" spans="1:5" x14ac:dyDescent="0.3">
      <c r="A30" s="4" t="s">
        <v>472</v>
      </c>
      <c r="B30" s="8" t="s">
        <v>412</v>
      </c>
      <c r="C30" s="8" t="s">
        <v>473</v>
      </c>
      <c r="D30" t="s">
        <v>156</v>
      </c>
      <c r="E30">
        <f t="shared" si="0"/>
        <v>13</v>
      </c>
    </row>
    <row r="31" spans="1:5" x14ac:dyDescent="0.3">
      <c r="A31" s="4" t="s">
        <v>474</v>
      </c>
      <c r="B31" s="8" t="s">
        <v>412</v>
      </c>
      <c r="C31" s="8" t="s">
        <v>475</v>
      </c>
      <c r="D31" t="s">
        <v>157</v>
      </c>
      <c r="E31">
        <f t="shared" si="0"/>
        <v>26</v>
      </c>
    </row>
    <row r="32" spans="1:5" x14ac:dyDescent="0.3">
      <c r="A32" s="4" t="s">
        <v>476</v>
      </c>
      <c r="B32" s="8" t="s">
        <v>413</v>
      </c>
      <c r="C32" s="8" t="s">
        <v>477</v>
      </c>
      <c r="D32" t="s">
        <v>169</v>
      </c>
      <c r="E32">
        <f t="shared" si="0"/>
        <v>11</v>
      </c>
    </row>
    <row r="33" spans="1:5" x14ac:dyDescent="0.3">
      <c r="A33" s="4" t="s">
        <v>478</v>
      </c>
      <c r="B33" s="8" t="s">
        <v>413</v>
      </c>
      <c r="C33" s="8" t="s">
        <v>479</v>
      </c>
      <c r="D33" t="s">
        <v>170</v>
      </c>
      <c r="E33">
        <f t="shared" si="0"/>
        <v>14</v>
      </c>
    </row>
    <row r="34" spans="1:5" x14ac:dyDescent="0.3">
      <c r="A34" s="4" t="s">
        <v>480</v>
      </c>
      <c r="B34" s="8" t="s">
        <v>413</v>
      </c>
      <c r="C34" s="8" t="s">
        <v>481</v>
      </c>
      <c r="D34" t="s">
        <v>171</v>
      </c>
      <c r="E34">
        <f t="shared" si="0"/>
        <v>14</v>
      </c>
    </row>
    <row r="35" spans="1:5" x14ac:dyDescent="0.3">
      <c r="A35" s="4" t="s">
        <v>482</v>
      </c>
      <c r="B35" s="8" t="s">
        <v>413</v>
      </c>
      <c r="C35" s="8" t="s">
        <v>483</v>
      </c>
      <c r="D35" t="s">
        <v>172</v>
      </c>
      <c r="E35">
        <f t="shared" si="0"/>
        <v>16</v>
      </c>
    </row>
    <row r="36" spans="1:5" x14ac:dyDescent="0.3">
      <c r="A36" s="4" t="s">
        <v>484</v>
      </c>
      <c r="B36" s="8" t="s">
        <v>413</v>
      </c>
      <c r="C36" s="8" t="s">
        <v>485</v>
      </c>
      <c r="D36" t="s">
        <v>173</v>
      </c>
      <c r="E36">
        <f t="shared" si="0"/>
        <v>13</v>
      </c>
    </row>
    <row r="37" spans="1:5" x14ac:dyDescent="0.3">
      <c r="A37" s="4" t="s">
        <v>486</v>
      </c>
      <c r="B37" s="8" t="s">
        <v>413</v>
      </c>
      <c r="C37" s="8" t="s">
        <v>487</v>
      </c>
      <c r="D37" t="s">
        <v>174</v>
      </c>
      <c r="E37">
        <f t="shared" si="0"/>
        <v>12</v>
      </c>
    </row>
    <row r="38" spans="1:5" x14ac:dyDescent="0.3">
      <c r="A38" s="4" t="s">
        <v>488</v>
      </c>
      <c r="B38" s="8" t="s">
        <v>413</v>
      </c>
      <c r="C38" s="8" t="s">
        <v>489</v>
      </c>
      <c r="D38" t="s">
        <v>175</v>
      </c>
      <c r="E38">
        <f t="shared" si="0"/>
        <v>8</v>
      </c>
    </row>
    <row r="39" spans="1:5" x14ac:dyDescent="0.3">
      <c r="A39" s="4" t="s">
        <v>490</v>
      </c>
      <c r="B39" s="8" t="s">
        <v>413</v>
      </c>
      <c r="C39" s="8" t="s">
        <v>491</v>
      </c>
      <c r="D39" t="s">
        <v>176</v>
      </c>
      <c r="E39">
        <f t="shared" si="0"/>
        <v>13</v>
      </c>
    </row>
    <row r="40" spans="1:5" x14ac:dyDescent="0.3">
      <c r="A40" s="4" t="s">
        <v>492</v>
      </c>
      <c r="B40" s="8" t="s">
        <v>413</v>
      </c>
      <c r="C40" s="8" t="s">
        <v>493</v>
      </c>
      <c r="D40" t="s">
        <v>177</v>
      </c>
      <c r="E40">
        <f t="shared" si="0"/>
        <v>7</v>
      </c>
    </row>
    <row r="41" spans="1:5" x14ac:dyDescent="0.3">
      <c r="A41" s="4" t="s">
        <v>494</v>
      </c>
      <c r="B41" s="8" t="s">
        <v>413</v>
      </c>
      <c r="C41" s="8" t="s">
        <v>493</v>
      </c>
      <c r="D41" t="s">
        <v>178</v>
      </c>
      <c r="E41">
        <f t="shared" si="0"/>
        <v>13</v>
      </c>
    </row>
    <row r="42" spans="1:5" x14ac:dyDescent="0.3">
      <c r="A42" s="4" t="s">
        <v>495</v>
      </c>
      <c r="B42" s="8" t="s">
        <v>414</v>
      </c>
      <c r="C42" s="8" t="s">
        <v>496</v>
      </c>
      <c r="D42" t="s">
        <v>190</v>
      </c>
      <c r="E42">
        <f t="shared" si="0"/>
        <v>13</v>
      </c>
    </row>
    <row r="43" spans="1:5" x14ac:dyDescent="0.3">
      <c r="A43" s="4" t="s">
        <v>497</v>
      </c>
      <c r="B43" s="8" t="s">
        <v>414</v>
      </c>
      <c r="C43" s="8" t="s">
        <v>498</v>
      </c>
      <c r="D43" t="s">
        <v>191</v>
      </c>
      <c r="E43">
        <f t="shared" si="0"/>
        <v>8</v>
      </c>
    </row>
    <row r="44" spans="1:5" x14ac:dyDescent="0.3">
      <c r="A44" s="4" t="s">
        <v>499</v>
      </c>
      <c r="B44" s="8" t="s">
        <v>414</v>
      </c>
      <c r="C44" s="8" t="s">
        <v>500</v>
      </c>
      <c r="D44" t="s">
        <v>192</v>
      </c>
      <c r="E44">
        <f t="shared" si="0"/>
        <v>15</v>
      </c>
    </row>
    <row r="45" spans="1:5" x14ac:dyDescent="0.3">
      <c r="A45" s="4" t="s">
        <v>501</v>
      </c>
      <c r="B45" s="8" t="s">
        <v>414</v>
      </c>
      <c r="C45" s="8" t="s">
        <v>502</v>
      </c>
      <c r="D45" t="s">
        <v>193</v>
      </c>
      <c r="E45">
        <f t="shared" si="0"/>
        <v>18</v>
      </c>
    </row>
    <row r="46" spans="1:5" x14ac:dyDescent="0.3">
      <c r="A46" s="4" t="s">
        <v>503</v>
      </c>
      <c r="B46" s="8" t="s">
        <v>414</v>
      </c>
      <c r="C46" s="8" t="s">
        <v>504</v>
      </c>
      <c r="D46" t="s">
        <v>194</v>
      </c>
      <c r="E46">
        <f t="shared" si="0"/>
        <v>15</v>
      </c>
    </row>
    <row r="47" spans="1:5" x14ac:dyDescent="0.3">
      <c r="A47" s="4" t="s">
        <v>505</v>
      </c>
      <c r="B47" s="8" t="s">
        <v>414</v>
      </c>
      <c r="C47" s="8" t="s">
        <v>506</v>
      </c>
      <c r="D47" t="s">
        <v>195</v>
      </c>
      <c r="E47">
        <f t="shared" si="0"/>
        <v>23</v>
      </c>
    </row>
    <row r="48" spans="1:5" x14ac:dyDescent="0.3">
      <c r="A48" s="4" t="s">
        <v>507</v>
      </c>
      <c r="B48" s="8" t="s">
        <v>414</v>
      </c>
      <c r="C48" s="8" t="s">
        <v>508</v>
      </c>
      <c r="D48" t="s">
        <v>196</v>
      </c>
      <c r="E48">
        <f t="shared" si="0"/>
        <v>15</v>
      </c>
    </row>
    <row r="49" spans="1:5" x14ac:dyDescent="0.3">
      <c r="A49" s="4" t="s">
        <v>509</v>
      </c>
      <c r="B49" s="8" t="s">
        <v>414</v>
      </c>
      <c r="C49" s="8" t="s">
        <v>510</v>
      </c>
      <c r="D49" t="s">
        <v>197</v>
      </c>
      <c r="E49">
        <f t="shared" si="0"/>
        <v>18</v>
      </c>
    </row>
    <row r="50" spans="1:5" x14ac:dyDescent="0.3">
      <c r="A50" s="4" t="s">
        <v>511</v>
      </c>
      <c r="B50" s="8" t="s">
        <v>414</v>
      </c>
      <c r="C50" s="8" t="s">
        <v>512</v>
      </c>
      <c r="D50" t="s">
        <v>198</v>
      </c>
      <c r="E50">
        <f t="shared" si="0"/>
        <v>18</v>
      </c>
    </row>
    <row r="51" spans="1:5" x14ac:dyDescent="0.3">
      <c r="A51" s="4" t="s">
        <v>513</v>
      </c>
      <c r="B51" s="8" t="s">
        <v>415</v>
      </c>
      <c r="C51" s="8" t="s">
        <v>514</v>
      </c>
      <c r="D51" t="s">
        <v>208</v>
      </c>
      <c r="E51">
        <f t="shared" si="0"/>
        <v>10</v>
      </c>
    </row>
    <row r="52" spans="1:5" x14ac:dyDescent="0.3">
      <c r="A52" s="4" t="s">
        <v>515</v>
      </c>
      <c r="B52" s="8" t="s">
        <v>415</v>
      </c>
      <c r="C52" s="8" t="s">
        <v>516</v>
      </c>
      <c r="D52" t="s">
        <v>209</v>
      </c>
      <c r="E52">
        <f t="shared" si="0"/>
        <v>11</v>
      </c>
    </row>
    <row r="53" spans="1:5" x14ac:dyDescent="0.3">
      <c r="A53" s="4" t="s">
        <v>517</v>
      </c>
      <c r="B53" s="8" t="s">
        <v>415</v>
      </c>
      <c r="C53" s="8" t="s">
        <v>518</v>
      </c>
      <c r="D53" t="s">
        <v>210</v>
      </c>
      <c r="E53">
        <f t="shared" si="0"/>
        <v>4</v>
      </c>
    </row>
    <row r="54" spans="1:5" x14ac:dyDescent="0.3">
      <c r="A54" s="4" t="s">
        <v>519</v>
      </c>
      <c r="B54" s="8" t="s">
        <v>415</v>
      </c>
      <c r="C54" s="8" t="s">
        <v>520</v>
      </c>
      <c r="D54" t="s">
        <v>211</v>
      </c>
      <c r="E54">
        <f t="shared" si="0"/>
        <v>8</v>
      </c>
    </row>
    <row r="55" spans="1:5" x14ac:dyDescent="0.3">
      <c r="A55" s="4" t="s">
        <v>521</v>
      </c>
      <c r="B55" s="8" t="s">
        <v>415</v>
      </c>
      <c r="C55" s="8" t="s">
        <v>522</v>
      </c>
      <c r="D55" t="s">
        <v>212</v>
      </c>
      <c r="E55">
        <f t="shared" si="0"/>
        <v>15</v>
      </c>
    </row>
    <row r="56" spans="1:5" x14ac:dyDescent="0.3">
      <c r="A56" s="4" t="s">
        <v>523</v>
      </c>
      <c r="B56" s="8" t="s">
        <v>415</v>
      </c>
      <c r="C56" s="8" t="s">
        <v>524</v>
      </c>
      <c r="D56" t="s">
        <v>213</v>
      </c>
      <c r="E56">
        <f t="shared" si="0"/>
        <v>6</v>
      </c>
    </row>
    <row r="57" spans="1:5" x14ac:dyDescent="0.3">
      <c r="A57" s="4" t="s">
        <v>525</v>
      </c>
      <c r="B57" s="8" t="s">
        <v>415</v>
      </c>
      <c r="C57" s="8" t="s">
        <v>526</v>
      </c>
      <c r="D57" t="s">
        <v>214</v>
      </c>
      <c r="E57">
        <f t="shared" si="0"/>
        <v>10</v>
      </c>
    </row>
    <row r="58" spans="1:5" x14ac:dyDescent="0.3">
      <c r="A58" s="4" t="s">
        <v>527</v>
      </c>
      <c r="B58" s="8" t="s">
        <v>415</v>
      </c>
      <c r="C58" s="8" t="s">
        <v>528</v>
      </c>
      <c r="D58" t="s">
        <v>214</v>
      </c>
      <c r="E58">
        <f t="shared" si="0"/>
        <v>10</v>
      </c>
    </row>
    <row r="59" spans="1:5" x14ac:dyDescent="0.3">
      <c r="A59" s="4" t="s">
        <v>529</v>
      </c>
      <c r="B59" s="8" t="s">
        <v>415</v>
      </c>
      <c r="C59" s="8" t="s">
        <v>530</v>
      </c>
      <c r="D59" t="s">
        <v>215</v>
      </c>
      <c r="E59">
        <f t="shared" si="0"/>
        <v>6</v>
      </c>
    </row>
    <row r="60" spans="1:5" x14ac:dyDescent="0.3">
      <c r="A60" s="4" t="s">
        <v>531</v>
      </c>
      <c r="B60" s="8" t="s">
        <v>416</v>
      </c>
      <c r="C60" s="8" t="s">
        <v>532</v>
      </c>
      <c r="D60" t="s">
        <v>233</v>
      </c>
      <c r="E60">
        <f t="shared" si="0"/>
        <v>24</v>
      </c>
    </row>
    <row r="61" spans="1:5" x14ac:dyDescent="0.3">
      <c r="A61" s="4" t="s">
        <v>533</v>
      </c>
      <c r="B61" s="8" t="s">
        <v>416</v>
      </c>
      <c r="C61" s="8" t="s">
        <v>534</v>
      </c>
      <c r="D61" t="s">
        <v>234</v>
      </c>
      <c r="E61">
        <f t="shared" si="0"/>
        <v>20</v>
      </c>
    </row>
    <row r="62" spans="1:5" x14ac:dyDescent="0.3">
      <c r="A62" s="4" t="s">
        <v>535</v>
      </c>
      <c r="B62" s="8" t="s">
        <v>416</v>
      </c>
      <c r="C62" s="8" t="s">
        <v>536</v>
      </c>
      <c r="D62" t="s">
        <v>235</v>
      </c>
      <c r="E62">
        <f t="shared" si="0"/>
        <v>13</v>
      </c>
    </row>
    <row r="63" spans="1:5" x14ac:dyDescent="0.3">
      <c r="A63" s="4" t="s">
        <v>537</v>
      </c>
      <c r="B63" s="8" t="s">
        <v>416</v>
      </c>
      <c r="C63" s="8" t="s">
        <v>538</v>
      </c>
      <c r="D63" t="s">
        <v>236</v>
      </c>
      <c r="E63">
        <f t="shared" si="0"/>
        <v>17</v>
      </c>
    </row>
    <row r="64" spans="1:5" x14ac:dyDescent="0.3">
      <c r="A64" s="4" t="s">
        <v>539</v>
      </c>
      <c r="B64" s="8" t="s">
        <v>416</v>
      </c>
      <c r="C64" s="8" t="s">
        <v>540</v>
      </c>
      <c r="D64" t="s">
        <v>237</v>
      </c>
      <c r="E64">
        <f t="shared" si="0"/>
        <v>16</v>
      </c>
    </row>
    <row r="65" spans="1:5" x14ac:dyDescent="0.3">
      <c r="A65" s="4" t="s">
        <v>541</v>
      </c>
      <c r="B65" s="8" t="s">
        <v>416</v>
      </c>
      <c r="C65" s="8" t="s">
        <v>542</v>
      </c>
      <c r="D65" t="s">
        <v>238</v>
      </c>
      <c r="E65">
        <f t="shared" si="0"/>
        <v>5</v>
      </c>
    </row>
    <row r="66" spans="1:5" x14ac:dyDescent="0.3">
      <c r="A66" s="4" t="s">
        <v>543</v>
      </c>
      <c r="B66" s="8" t="s">
        <v>416</v>
      </c>
      <c r="C66" s="8" t="s">
        <v>544</v>
      </c>
      <c r="D66" t="s">
        <v>239</v>
      </c>
      <c r="E66">
        <f t="shared" si="0"/>
        <v>16</v>
      </c>
    </row>
    <row r="67" spans="1:5" x14ac:dyDescent="0.3">
      <c r="A67" s="4" t="s">
        <v>545</v>
      </c>
      <c r="B67" s="8" t="s">
        <v>416</v>
      </c>
      <c r="C67" s="8" t="s">
        <v>546</v>
      </c>
      <c r="D67" t="s">
        <v>240</v>
      </c>
      <c r="E67">
        <f t="shared" ref="E67:E86" si="1">LEN(D67)</f>
        <v>17</v>
      </c>
    </row>
    <row r="68" spans="1:5" x14ac:dyDescent="0.3">
      <c r="A68" s="4" t="s">
        <v>547</v>
      </c>
      <c r="B68" s="8" t="s">
        <v>416</v>
      </c>
      <c r="C68" s="8" t="s">
        <v>548</v>
      </c>
      <c r="D68" t="s">
        <v>241</v>
      </c>
      <c r="E68">
        <f t="shared" si="1"/>
        <v>16</v>
      </c>
    </row>
    <row r="69" spans="1:5" x14ac:dyDescent="0.3">
      <c r="A69" s="4" t="s">
        <v>549</v>
      </c>
      <c r="B69" s="8" t="s">
        <v>417</v>
      </c>
      <c r="C69" s="8" t="s">
        <v>550</v>
      </c>
      <c r="D69" t="s">
        <v>252</v>
      </c>
      <c r="E69">
        <f t="shared" si="1"/>
        <v>8</v>
      </c>
    </row>
    <row r="70" spans="1:5" x14ac:dyDescent="0.3">
      <c r="A70" s="4" t="s">
        <v>551</v>
      </c>
      <c r="B70" s="8" t="s">
        <v>417</v>
      </c>
      <c r="C70" s="8" t="s">
        <v>552</v>
      </c>
      <c r="D70" t="s">
        <v>253</v>
      </c>
      <c r="E70">
        <f t="shared" si="1"/>
        <v>6</v>
      </c>
    </row>
    <row r="71" spans="1:5" x14ac:dyDescent="0.3">
      <c r="A71" s="4" t="s">
        <v>553</v>
      </c>
      <c r="B71" s="8" t="s">
        <v>417</v>
      </c>
      <c r="C71" s="8" t="s">
        <v>554</v>
      </c>
      <c r="D71" t="s">
        <v>254</v>
      </c>
      <c r="E71">
        <f t="shared" si="1"/>
        <v>5</v>
      </c>
    </row>
    <row r="72" spans="1:5" x14ac:dyDescent="0.3">
      <c r="A72" s="4" t="s">
        <v>555</v>
      </c>
      <c r="B72" s="8" t="s">
        <v>417</v>
      </c>
      <c r="C72" s="8" t="s">
        <v>556</v>
      </c>
      <c r="D72" t="s">
        <v>255</v>
      </c>
      <c r="E72">
        <f t="shared" si="1"/>
        <v>5</v>
      </c>
    </row>
    <row r="73" spans="1:5" x14ac:dyDescent="0.3">
      <c r="A73" s="4" t="s">
        <v>557</v>
      </c>
      <c r="B73" s="8" t="s">
        <v>417</v>
      </c>
      <c r="C73" s="8" t="s">
        <v>558</v>
      </c>
      <c r="D73" t="s">
        <v>256</v>
      </c>
      <c r="E73">
        <f t="shared" si="1"/>
        <v>7</v>
      </c>
    </row>
    <row r="74" spans="1:5" x14ac:dyDescent="0.3">
      <c r="A74" s="4" t="s">
        <v>559</v>
      </c>
      <c r="B74" s="8" t="s">
        <v>417</v>
      </c>
      <c r="C74" s="8" t="s">
        <v>560</v>
      </c>
      <c r="D74" t="s">
        <v>257</v>
      </c>
      <c r="E74">
        <f t="shared" si="1"/>
        <v>5</v>
      </c>
    </row>
    <row r="75" spans="1:5" x14ac:dyDescent="0.3">
      <c r="A75" s="4" t="s">
        <v>561</v>
      </c>
      <c r="B75" s="8" t="s">
        <v>417</v>
      </c>
      <c r="C75" s="8" t="s">
        <v>562</v>
      </c>
      <c r="D75" t="s">
        <v>258</v>
      </c>
      <c r="E75">
        <f t="shared" si="1"/>
        <v>19</v>
      </c>
    </row>
    <row r="76" spans="1:5" x14ac:dyDescent="0.3">
      <c r="A76" s="4" t="s">
        <v>563</v>
      </c>
      <c r="B76" s="8" t="s">
        <v>417</v>
      </c>
      <c r="C76" s="8" t="s">
        <v>564</v>
      </c>
      <c r="D76" t="s">
        <v>259</v>
      </c>
      <c r="E76">
        <f t="shared" si="1"/>
        <v>13</v>
      </c>
    </row>
    <row r="77" spans="1:5" x14ac:dyDescent="0.3">
      <c r="A77" s="4" t="s">
        <v>565</v>
      </c>
      <c r="B77" s="8" t="s">
        <v>417</v>
      </c>
      <c r="C77" s="8" t="s">
        <v>566</v>
      </c>
      <c r="D77" t="s">
        <v>260</v>
      </c>
      <c r="E77">
        <f t="shared" si="1"/>
        <v>8</v>
      </c>
    </row>
    <row r="78" spans="1:5" x14ac:dyDescent="0.3">
      <c r="A78" s="4" t="s">
        <v>567</v>
      </c>
      <c r="B78" s="8" t="s">
        <v>418</v>
      </c>
      <c r="C78" s="8" t="s">
        <v>568</v>
      </c>
      <c r="D78" t="s">
        <v>272</v>
      </c>
      <c r="E78">
        <f t="shared" si="1"/>
        <v>9</v>
      </c>
    </row>
    <row r="79" spans="1:5" x14ac:dyDescent="0.3">
      <c r="A79" s="4" t="s">
        <v>569</v>
      </c>
      <c r="B79" s="8" t="s">
        <v>418</v>
      </c>
      <c r="C79" s="8" t="s">
        <v>570</v>
      </c>
      <c r="D79" t="s">
        <v>273</v>
      </c>
      <c r="E79">
        <f t="shared" si="1"/>
        <v>13</v>
      </c>
    </row>
    <row r="80" spans="1:5" x14ac:dyDescent="0.3">
      <c r="A80" s="4" t="s">
        <v>571</v>
      </c>
      <c r="B80" s="8" t="s">
        <v>418</v>
      </c>
      <c r="C80" s="8" t="s">
        <v>572</v>
      </c>
      <c r="D80" t="s">
        <v>274</v>
      </c>
      <c r="E80">
        <f t="shared" si="1"/>
        <v>13</v>
      </c>
    </row>
    <row r="81" spans="1:5" x14ac:dyDescent="0.3">
      <c r="A81" s="4" t="s">
        <v>573</v>
      </c>
      <c r="B81" s="8" t="s">
        <v>418</v>
      </c>
      <c r="C81" s="8" t="s">
        <v>574</v>
      </c>
      <c r="D81" t="s">
        <v>275</v>
      </c>
      <c r="E81">
        <f t="shared" si="1"/>
        <v>6</v>
      </c>
    </row>
    <row r="82" spans="1:5" x14ac:dyDescent="0.3">
      <c r="A82" s="4" t="s">
        <v>575</v>
      </c>
      <c r="B82" s="8" t="s">
        <v>418</v>
      </c>
      <c r="C82" s="8" t="s">
        <v>576</v>
      </c>
      <c r="D82" t="s">
        <v>276</v>
      </c>
      <c r="E82">
        <f t="shared" si="1"/>
        <v>3</v>
      </c>
    </row>
    <row r="83" spans="1:5" x14ac:dyDescent="0.3">
      <c r="A83" s="4" t="s">
        <v>577</v>
      </c>
      <c r="B83" s="8" t="s">
        <v>418</v>
      </c>
      <c r="C83" s="8" t="s">
        <v>578</v>
      </c>
      <c r="D83" t="s">
        <v>277</v>
      </c>
      <c r="E83">
        <f t="shared" si="1"/>
        <v>11</v>
      </c>
    </row>
    <row r="84" spans="1:5" x14ac:dyDescent="0.3">
      <c r="A84" s="4" t="s">
        <v>579</v>
      </c>
      <c r="B84" s="8" t="s">
        <v>418</v>
      </c>
      <c r="C84" s="8" t="s">
        <v>580</v>
      </c>
      <c r="D84" t="s">
        <v>278</v>
      </c>
      <c r="E84">
        <f t="shared" si="1"/>
        <v>7</v>
      </c>
    </row>
    <row r="85" spans="1:5" x14ac:dyDescent="0.3">
      <c r="A85" s="4" t="s">
        <v>581</v>
      </c>
      <c r="B85" s="8" t="s">
        <v>418</v>
      </c>
      <c r="C85" s="8" t="s">
        <v>582</v>
      </c>
      <c r="D85" t="s">
        <v>279</v>
      </c>
      <c r="E85">
        <f t="shared" si="1"/>
        <v>6</v>
      </c>
    </row>
    <row r="86" spans="1:5" x14ac:dyDescent="0.3">
      <c r="A86" s="4" t="s">
        <v>583</v>
      </c>
      <c r="B86" s="8" t="s">
        <v>418</v>
      </c>
      <c r="C86" s="8" t="s">
        <v>584</v>
      </c>
      <c r="D86" t="s">
        <v>280</v>
      </c>
      <c r="E86">
        <f t="shared" si="1"/>
        <v>6</v>
      </c>
    </row>
    <row r="87" spans="1:5" x14ac:dyDescent="0.3">
      <c r="E87">
        <f>MAX(E2:E86)</f>
        <v>27</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FA285-226A-4F90-9A22-4721F0E64190}">
  <dimension ref="A1:H164"/>
  <sheetViews>
    <sheetView topLeftCell="A49" zoomScale="85" zoomScaleNormal="85" workbookViewId="0">
      <selection activeCell="E65" sqref="E65"/>
    </sheetView>
  </sheetViews>
  <sheetFormatPr defaultRowHeight="16.5" x14ac:dyDescent="0.3"/>
  <cols>
    <col min="1" max="1" width="30.75" style="9" customWidth="1"/>
    <col min="2" max="2" width="22" bestFit="1" customWidth="1"/>
    <col min="5" max="5" width="158.625" bestFit="1" customWidth="1"/>
  </cols>
  <sheetData>
    <row r="1" spans="1:8" x14ac:dyDescent="0.3">
      <c r="A1" s="9" t="s">
        <v>71</v>
      </c>
      <c r="B1" t="s">
        <v>61</v>
      </c>
      <c r="C1" t="s">
        <v>84</v>
      </c>
    </row>
    <row r="2" spans="1:8" x14ac:dyDescent="0.3">
      <c r="A2" s="9" t="s">
        <v>420</v>
      </c>
      <c r="B2" t="s">
        <v>62</v>
      </c>
      <c r="C2" t="s">
        <v>85</v>
      </c>
      <c r="E2" t="s">
        <v>319</v>
      </c>
      <c r="F2" s="17" t="s">
        <v>321</v>
      </c>
      <c r="G2" s="17" t="s">
        <v>320</v>
      </c>
      <c r="H2" t="str">
        <f>$E$2&amp;B2&amp;$F$2&amp;C2&amp;$G$2</f>
        <v xml:space="preserve"> INSERT INTO ACTOR (ACTOR_ID, ACTOR_NAME, ACTOR_PROFILE_URL) VALUES ('AC-' || TO_CHAR(SYSDATE, 'YYYYMMDD-') || LPAD(SEQ_ACTOR_PK.NEXTVAL, 6, '0') , '아덴 조', '배우사진');</v>
      </c>
    </row>
    <row r="3" spans="1:8" x14ac:dyDescent="0.3">
      <c r="A3" s="9" t="s">
        <v>422</v>
      </c>
      <c r="B3" t="s">
        <v>63</v>
      </c>
      <c r="C3" t="s">
        <v>85</v>
      </c>
      <c r="H3" t="str">
        <f t="shared" ref="H3:H66" si="0">$E$2&amp;B3&amp;$F$2&amp;C3&amp;$G$2</f>
        <v xml:space="preserve"> INSERT INTO ACTOR (ACTOR_ID, ACTOR_NAME, ACTOR_PROFILE_URL) VALUES ('AC-' || TO_CHAR(SYSDATE, 'YYYYMMDD-') || LPAD(SEQ_ACTOR_PK.NEXTVAL, 6, '0') , '메이 홍 ', '배우사진');</v>
      </c>
    </row>
    <row r="4" spans="1:8" x14ac:dyDescent="0.3">
      <c r="A4" s="9" t="s">
        <v>424</v>
      </c>
      <c r="B4" t="s">
        <v>64</v>
      </c>
      <c r="C4" t="s">
        <v>85</v>
      </c>
      <c r="H4" t="str">
        <f t="shared" si="0"/>
        <v xml:space="preserve"> INSERT INTO ACTOR (ACTOR_ID, ACTOR_NAME, ACTOR_PROFILE_URL) VALUES ('AC-' || TO_CHAR(SYSDATE, 'YYYYMMDD-') || LPAD(SEQ_ACTOR_PK.NEXTVAL, 6, '0') , '유지영', '배우사진');</v>
      </c>
    </row>
    <row r="5" spans="1:8" x14ac:dyDescent="0.3">
      <c r="A5" s="9" t="s">
        <v>426</v>
      </c>
      <c r="B5" t="s">
        <v>65</v>
      </c>
      <c r="C5" t="s">
        <v>85</v>
      </c>
      <c r="H5" t="str">
        <f t="shared" si="0"/>
        <v xml:space="preserve"> INSERT INTO ACTOR (ACTOR_ID, ACTOR_NAME, ACTOR_PROFILE_URL) VALUES ('AC-' || TO_CHAR(SYSDATE, 'YYYYMMDD-') || LPAD(SEQ_ACTOR_PK.NEXTVAL, 6, '0') , '안효섭', '배우사진');</v>
      </c>
    </row>
    <row r="6" spans="1:8" x14ac:dyDescent="0.3">
      <c r="A6" s="9" t="s">
        <v>428</v>
      </c>
      <c r="B6" t="s">
        <v>66</v>
      </c>
      <c r="C6" t="s">
        <v>85</v>
      </c>
      <c r="H6" t="str">
        <f t="shared" si="0"/>
        <v xml:space="preserve"> INSERT INTO ACTOR (ACTOR_ID, ACTOR_NAME, ACTOR_PROFILE_URL) VALUES ('AC-' || TO_CHAR(SYSDATE, 'YYYYMMDD-') || LPAD(SEQ_ACTOR_PK.NEXTVAL, 6, '0') , '김윤진', '배우사진');</v>
      </c>
    </row>
    <row r="7" spans="1:8" x14ac:dyDescent="0.3">
      <c r="A7" s="9" t="s">
        <v>430</v>
      </c>
      <c r="B7" t="s">
        <v>67</v>
      </c>
      <c r="C7" t="s">
        <v>85</v>
      </c>
      <c r="H7" t="str">
        <f t="shared" si="0"/>
        <v xml:space="preserve"> INSERT INTO ACTOR (ACTOR_ID, ACTOR_NAME, ACTOR_PROFILE_URL) VALUES ('AC-' || TO_CHAR(SYSDATE, 'YYYYMMDD-') || LPAD(SEQ_ACTOR_PK.NEXTVAL, 6, '0') , '켄 정', '배우사진');</v>
      </c>
    </row>
    <row r="8" spans="1:8" x14ac:dyDescent="0.3">
      <c r="A8" s="9" t="s">
        <v>432</v>
      </c>
      <c r="B8" t="s">
        <v>68</v>
      </c>
      <c r="C8" t="s">
        <v>85</v>
      </c>
      <c r="H8" t="str">
        <f t="shared" si="0"/>
        <v xml:space="preserve"> INSERT INTO ACTOR (ACTOR_ID, ACTOR_NAME, ACTOR_PROFILE_URL) VALUES ('AC-' || TO_CHAR(SYSDATE, 'YYYYMMDD-') || LPAD(SEQ_ACTOR_PK.NEXTVAL, 6, '0') , '이병헌 ', '배우사진');</v>
      </c>
    </row>
    <row r="9" spans="1:8" x14ac:dyDescent="0.3">
      <c r="A9" s="9" t="s">
        <v>434</v>
      </c>
      <c r="B9" t="s">
        <v>69</v>
      </c>
      <c r="C9" t="s">
        <v>85</v>
      </c>
      <c r="H9" t="str">
        <f t="shared" si="0"/>
        <v xml:space="preserve"> INSERT INTO ACTOR (ACTOR_ID, ACTOR_NAME, ACTOR_PROFILE_URL) VALUES ('AC-' || TO_CHAR(SYSDATE, 'YYYYMMDD-') || LPAD(SEQ_ACTOR_PK.NEXTVAL, 6, '0') , '다니엘 대 킴', '배우사진');</v>
      </c>
    </row>
    <row r="10" spans="1:8" x14ac:dyDescent="0.3">
      <c r="A10" s="9" t="s">
        <v>438</v>
      </c>
      <c r="B10" t="s">
        <v>70</v>
      </c>
      <c r="C10" t="s">
        <v>85</v>
      </c>
      <c r="H10" t="str">
        <f t="shared" si="0"/>
        <v xml:space="preserve"> INSERT INTO ACTOR (ACTOR_ID, ACTOR_NAME, ACTOR_PROFILE_URL) VALUES ('AC-' || TO_CHAR(SYSDATE, 'YYYYMMDD-') || LPAD(SEQ_ACTOR_PK.NEXTVAL, 6, '0') , '조엘 김 부스터', '배우사진');</v>
      </c>
    </row>
    <row r="11" spans="1:8" x14ac:dyDescent="0.3">
      <c r="A11" s="9" t="s">
        <v>441</v>
      </c>
      <c r="B11" t="s">
        <v>86</v>
      </c>
      <c r="C11" t="s">
        <v>85</v>
      </c>
      <c r="H11" t="str">
        <f t="shared" si="0"/>
        <v xml:space="preserve"> INSERT INTO ACTOR (ACTOR_ID, ACTOR_NAME, ACTOR_PROFILE_URL) VALUES ('AC-' || TO_CHAR(SYSDATE, 'YYYYMMDD-') || LPAD(SEQ_ACTOR_PK.NEXTVAL, 6, '0') , '조지 해리슨', '배우사진');</v>
      </c>
    </row>
    <row r="12" spans="1:8" x14ac:dyDescent="0.3">
      <c r="A12" s="9" t="s">
        <v>443</v>
      </c>
      <c r="B12" t="s">
        <v>87</v>
      </c>
      <c r="C12" t="s">
        <v>85</v>
      </c>
      <c r="H12" t="str">
        <f t="shared" si="0"/>
        <v xml:space="preserve"> INSERT INTO ACTOR (ACTOR_ID, ACTOR_NAME, ACTOR_PROFILE_URL) VALUES ('AC-' || TO_CHAR(SYSDATE, 'YYYYMMDD-') || LPAD(SEQ_ACTOR_PK.NEXTVAL, 6, '0') , '존 레논', '배우사진');</v>
      </c>
    </row>
    <row r="13" spans="1:8" x14ac:dyDescent="0.3">
      <c r="A13" s="9" t="s">
        <v>445</v>
      </c>
      <c r="B13" t="s">
        <v>88</v>
      </c>
      <c r="C13" t="s">
        <v>85</v>
      </c>
      <c r="H13" t="str">
        <f t="shared" si="0"/>
        <v xml:space="preserve"> INSERT INTO ACTOR (ACTOR_ID, ACTOR_NAME, ACTOR_PROFILE_URL) VALUES ('AC-' || TO_CHAR(SYSDATE, 'YYYYMMDD-') || LPAD(SEQ_ACTOR_PK.NEXTVAL, 6, '0') , '폴 매카트니', '배우사진');</v>
      </c>
    </row>
    <row r="14" spans="1:8" x14ac:dyDescent="0.3">
      <c r="A14" s="9" t="s">
        <v>447</v>
      </c>
      <c r="B14" t="s">
        <v>89</v>
      </c>
      <c r="C14" t="s">
        <v>85</v>
      </c>
      <c r="H14" t="str">
        <f t="shared" si="0"/>
        <v xml:space="preserve"> INSERT INTO ACTOR (ACTOR_ID, ACTOR_NAME, ACTOR_PROFILE_URL) VALUES ('AC-' || TO_CHAR(SYSDATE, 'YYYYMMDD-') || LPAD(SEQ_ACTOR_PK.NEXTVAL, 6, '0') , '링고 스타', '배우사진');</v>
      </c>
    </row>
    <row r="15" spans="1:8" x14ac:dyDescent="0.3">
      <c r="A15" s="9" t="s">
        <v>449</v>
      </c>
      <c r="B15" t="s">
        <v>90</v>
      </c>
      <c r="C15" t="s">
        <v>85</v>
      </c>
      <c r="H15" t="str">
        <f t="shared" si="0"/>
        <v xml:space="preserve"> INSERT INTO ACTOR (ACTOR_ID, ACTOR_NAME, ACTOR_PROFILE_URL) VALUES ('AC-' || TO_CHAR(SYSDATE, 'YYYYMMDD-') || LPAD(SEQ_ACTOR_PK.NEXTVAL, 6, '0') , 'Leo McKern', '배우사진');</v>
      </c>
    </row>
    <row r="16" spans="1:8" x14ac:dyDescent="0.3">
      <c r="A16" s="9" t="s">
        <v>451</v>
      </c>
      <c r="B16" t="s">
        <v>91</v>
      </c>
      <c r="C16" t="s">
        <v>85</v>
      </c>
      <c r="H16" t="str">
        <f t="shared" si="0"/>
        <v xml:space="preserve"> INSERT INTO ACTOR (ACTOR_ID, ACTOR_NAME, ACTOR_PROFILE_URL) VALUES ('AC-' || TO_CHAR(SYSDATE, 'YYYYMMDD-') || LPAD(SEQ_ACTOR_PK.NEXTVAL, 6, '0') , 'Eleanor Bron ', '배우사진');</v>
      </c>
    </row>
    <row r="17" spans="1:8" x14ac:dyDescent="0.3">
      <c r="A17" s="9" t="s">
        <v>453</v>
      </c>
      <c r="B17" t="s">
        <v>92</v>
      </c>
      <c r="C17" t="s">
        <v>85</v>
      </c>
      <c r="H17" t="str">
        <f t="shared" si="0"/>
        <v xml:space="preserve"> INSERT INTO ACTOR (ACTOR_ID, ACTOR_NAME, ACTOR_PROFILE_URL) VALUES ('AC-' || TO_CHAR(SYSDATE, 'YYYYMMDD-') || LPAD(SEQ_ACTOR_PK.NEXTVAL, 6, '0') , 'Victor Spinetti', '배우사진');</v>
      </c>
    </row>
    <row r="18" spans="1:8" x14ac:dyDescent="0.3">
      <c r="A18" s="9" t="s">
        <v>455</v>
      </c>
      <c r="B18" t="s">
        <v>93</v>
      </c>
      <c r="C18" t="s">
        <v>85</v>
      </c>
      <c r="H18" t="str">
        <f t="shared" si="0"/>
        <v xml:space="preserve"> INSERT INTO ACTOR (ACTOR_ID, ACTOR_NAME, ACTOR_PROFILE_URL) VALUES ('AC-' || TO_CHAR(SYSDATE, 'YYYYMMDD-') || LPAD(SEQ_ACTOR_PK.NEXTVAL, 6, '0') , 'Roy Kinnear', '배우사진');</v>
      </c>
    </row>
    <row r="19" spans="1:8" x14ac:dyDescent="0.3">
      <c r="A19" s="9" t="s">
        <v>457</v>
      </c>
      <c r="B19" t="s">
        <v>94</v>
      </c>
      <c r="C19" t="s">
        <v>85</v>
      </c>
      <c r="H19" t="str">
        <f t="shared" si="0"/>
        <v xml:space="preserve"> INSERT INTO ACTOR (ACTOR_ID, ACTOR_NAME, ACTOR_PROFILE_URL) VALUES ('AC-' || TO_CHAR(SYSDATE, 'YYYYMMDD-') || LPAD(SEQ_ACTOR_PK.NEXTVAL, 6, '0') , 'John Bluthal', '배우사진');</v>
      </c>
    </row>
    <row r="20" spans="1:8" x14ac:dyDescent="0.3">
      <c r="A20" s="9" t="s">
        <v>459</v>
      </c>
      <c r="B20" t="s">
        <v>140</v>
      </c>
      <c r="C20" t="s">
        <v>85</v>
      </c>
      <c r="H20" t="str">
        <f t="shared" si="0"/>
        <v xml:space="preserve"> INSERT INTO ACTOR (ACTOR_ID, ACTOR_NAME, ACTOR_PROFILE_URL) VALUES ('AC-' || TO_CHAR(SYSDATE, 'YYYYMMDD-') || LPAD(SEQ_ACTOR_PK.NEXTVAL, 6, '0') , '토야 키쿠노스케 ', '배우사진');</v>
      </c>
    </row>
    <row r="21" spans="1:8" x14ac:dyDescent="0.3">
      <c r="A21" s="9" t="s">
        <v>461</v>
      </c>
      <c r="B21" t="s">
        <v>141</v>
      </c>
      <c r="C21" t="s">
        <v>85</v>
      </c>
      <c r="H21" t="str">
        <f t="shared" si="0"/>
        <v xml:space="preserve"> INSERT INTO ACTOR (ACTOR_ID, ACTOR_NAME, ACTOR_PROFILE_URL) VALUES ('AC-' || TO_CHAR(SYSDATE, 'YYYYMMDD-') || LPAD(SEQ_ACTOR_PK.NEXTVAL, 6, '0') , '우에다 레이나', '배우사진');</v>
      </c>
    </row>
    <row r="22" spans="1:8" x14ac:dyDescent="0.3">
      <c r="A22" s="9" t="s">
        <v>463</v>
      </c>
      <c r="B22" t="s">
        <v>142</v>
      </c>
      <c r="C22" t="s">
        <v>85</v>
      </c>
      <c r="H22" t="str">
        <f t="shared" si="0"/>
        <v xml:space="preserve"> INSERT INTO ACTOR (ACTOR_ID, ACTOR_NAME, ACTOR_PROFILE_URL) VALUES ('AC-' || TO_CHAR(SYSDATE, 'YYYYMMDD-') || LPAD(SEQ_ACTOR_PK.NEXTVAL, 6, '0') , '쿠스노키 토모리', '배우사진');</v>
      </c>
    </row>
    <row r="23" spans="1:8" x14ac:dyDescent="0.3">
      <c r="A23" s="9" t="s">
        <v>465</v>
      </c>
      <c r="B23" t="s">
        <v>143</v>
      </c>
      <c r="C23" t="s">
        <v>85</v>
      </c>
      <c r="H23" t="str">
        <f t="shared" si="0"/>
        <v xml:space="preserve"> INSERT INTO ACTOR (ACTOR_ID, ACTOR_NAME, ACTOR_PROFILE_URL) VALUES ('AC-' || TO_CHAR(SYSDATE, 'YYYYMMDD-') || LPAD(SEQ_ACTOR_PK.NEXTVAL, 6, '0') , '사카타 쇼고', '배우사진');</v>
      </c>
    </row>
    <row r="24" spans="1:8" x14ac:dyDescent="0.3">
      <c r="A24" s="9" t="s">
        <v>467</v>
      </c>
      <c r="B24" t="s">
        <v>144</v>
      </c>
      <c r="C24" t="s">
        <v>85</v>
      </c>
      <c r="H24" t="str">
        <f t="shared" si="0"/>
        <v xml:space="preserve"> INSERT INTO ACTOR (ACTOR_ID, ACTOR_NAME, ACTOR_PROFILE_URL) VALUES ('AC-' || TO_CHAR(SYSDATE, 'YYYYMMDD-') || LPAD(SEQ_ACTOR_PK.NEXTVAL, 6, '0') , '우치다 마아야', '배우사진');</v>
      </c>
    </row>
    <row r="25" spans="1:8" x14ac:dyDescent="0.3">
      <c r="A25" s="9" t="s">
        <v>469</v>
      </c>
      <c r="B25" t="s">
        <v>145</v>
      </c>
      <c r="C25" t="s">
        <v>85</v>
      </c>
      <c r="H25" t="str">
        <f t="shared" si="0"/>
        <v xml:space="preserve"> INSERT INTO ACTOR (ACTOR_ID, ACTOR_NAME, ACTOR_PROFILE_URL) VALUES ('AC-' || TO_CHAR(SYSDATE, 'YYYYMMDD-') || LPAD(SEQ_ACTOR_PK.NEXTVAL, 6, '0') , '하나에 나츠키', '배우사진');</v>
      </c>
    </row>
    <row r="26" spans="1:8" x14ac:dyDescent="0.3">
      <c r="A26" s="9" t="s">
        <v>471</v>
      </c>
      <c r="B26" t="s">
        <v>146</v>
      </c>
      <c r="C26" t="s">
        <v>85</v>
      </c>
      <c r="H26" t="str">
        <f t="shared" si="0"/>
        <v xml:space="preserve"> INSERT INTO ACTOR (ACTOR_ID, ACTOR_NAME, ACTOR_PROFILE_URL) VALUES ('AC-' || TO_CHAR(SYSDATE, 'YYYYMMDD-') || LPAD(SEQ_ACTOR_PK.NEXTVAL, 6, '0') , '타카하시 카린', '배우사진');</v>
      </c>
    </row>
    <row r="27" spans="1:8" x14ac:dyDescent="0.3">
      <c r="A27" s="9" t="s">
        <v>473</v>
      </c>
      <c r="B27" t="s">
        <v>147</v>
      </c>
      <c r="C27" t="s">
        <v>85</v>
      </c>
      <c r="H27" t="str">
        <f t="shared" si="0"/>
        <v xml:space="preserve"> INSERT INTO ACTOR (ACTOR_ID, ACTOR_NAME, ACTOR_PROFILE_URL) VALUES ('AC-' || TO_CHAR(SYSDATE, 'YYYYMMDD-') || LPAD(SEQ_ACTOR_PK.NEXTVAL, 6, '0') , '파이루즈 아이', '배우사진');</v>
      </c>
    </row>
    <row r="28" spans="1:8" x14ac:dyDescent="0.3">
      <c r="A28" s="9" t="s">
        <v>475</v>
      </c>
      <c r="B28" t="s">
        <v>148</v>
      </c>
      <c r="C28" t="s">
        <v>85</v>
      </c>
      <c r="H28" t="str">
        <f t="shared" si="0"/>
        <v xml:space="preserve"> INSERT INTO ACTOR (ACTOR_ID, ACTOR_NAME, ACTOR_PROFILE_URL) VALUES ('AC-' || TO_CHAR(SYSDATE, 'YYYYMMDD-') || LPAD(SEQ_ACTOR_PK.NEXTVAL, 6, '0') , '우치다 유우야', '배우사진');</v>
      </c>
    </row>
    <row r="29" spans="1:8" x14ac:dyDescent="0.3">
      <c r="A29" s="9" t="s">
        <v>477</v>
      </c>
      <c r="B29" t="s">
        <v>160</v>
      </c>
      <c r="C29" t="s">
        <v>85</v>
      </c>
      <c r="H29" t="str">
        <f t="shared" si="0"/>
        <v xml:space="preserve"> INSERT INTO ACTOR (ACTOR_ID, ACTOR_NAME, ACTOR_PROFILE_URL) VALUES ('AC-' || TO_CHAR(SYSDATE, 'YYYYMMDD-') || LPAD(SEQ_ACTOR_PK.NEXTVAL, 6, '0') , 'David Miller', '배우사진');</v>
      </c>
    </row>
    <row r="30" spans="1:8" x14ac:dyDescent="0.3">
      <c r="A30" s="9" t="s">
        <v>479</v>
      </c>
      <c r="B30" t="s">
        <v>161</v>
      </c>
      <c r="C30" t="s">
        <v>85</v>
      </c>
      <c r="H30" t="str">
        <f t="shared" si="0"/>
        <v xml:space="preserve"> INSERT INTO ACTOR (ACTOR_ID, ACTOR_NAME, ACTOR_PROFILE_URL) VALUES ('AC-' || TO_CHAR(SYSDATE, 'YYYYMMDD-') || LPAD(SEQ_ACTOR_PK.NEXTVAL, 6, '0') , 'George Wilson', '배우사진');</v>
      </c>
    </row>
    <row r="31" spans="1:8" x14ac:dyDescent="0.3">
      <c r="A31" s="9" t="s">
        <v>481</v>
      </c>
      <c r="B31" t="s">
        <v>162</v>
      </c>
      <c r="C31" t="s">
        <v>85</v>
      </c>
      <c r="H31" t="str">
        <f t="shared" si="0"/>
        <v xml:space="preserve"> INSERT INTO ACTOR (ACTOR_ID, ACTOR_NAME, ACTOR_PROFILE_URL) VALUES ('AC-' || TO_CHAR(SYSDATE, 'YYYYMMDD-') || LPAD(SEQ_ACTOR_PK.NEXTVAL, 6, '0') , 'Sharon Taylor', '배우사진');</v>
      </c>
    </row>
    <row r="32" spans="1:8" x14ac:dyDescent="0.3">
      <c r="A32" s="9" t="s">
        <v>483</v>
      </c>
      <c r="B32" t="s">
        <v>163</v>
      </c>
      <c r="C32" t="s">
        <v>85</v>
      </c>
      <c r="H32" t="str">
        <f t="shared" si="0"/>
        <v xml:space="preserve"> INSERT INTO ACTOR (ACTOR_ID, ACTOR_NAME, ACTOR_PROFILE_URL) VALUES ('AC-' || TO_CHAR(SYSDATE, 'YYYYMMDD-') || LPAD(SEQ_ACTOR_PK.NEXTVAL, 6, '0') , 'J. Stephen Peace', '배우사진');</v>
      </c>
    </row>
    <row r="33" spans="1:8" x14ac:dyDescent="0.3">
      <c r="A33" s="9" t="s">
        <v>485</v>
      </c>
      <c r="B33" t="s">
        <v>164</v>
      </c>
      <c r="C33" t="s">
        <v>85</v>
      </c>
      <c r="H33" t="str">
        <f t="shared" si="0"/>
        <v xml:space="preserve"> INSERT INTO ACTOR (ACTOR_ID, ACTOR_NAME, ACTOR_PROFILE_URL) VALUES ('AC-' || TO_CHAR(SYSDATE, 'YYYYMMDD-') || LPAD(SEQ_ACTOR_PK.NEXTVAL, 6, '0') , 'Ernie Meyers', '배우사진');</v>
      </c>
    </row>
    <row r="34" spans="1:8" x14ac:dyDescent="0.3">
      <c r="A34" s="9" t="s">
        <v>487</v>
      </c>
      <c r="B34" t="s">
        <v>165</v>
      </c>
      <c r="C34" t="s">
        <v>85</v>
      </c>
      <c r="H34" t="str">
        <f t="shared" si="0"/>
        <v xml:space="preserve"> INSERT INTO ACTOR (ACTOR_ID, ACTOR_NAME, ACTOR_PROFILE_URL) VALUES ('AC-' || TO_CHAR(SYSDATE, 'YYYYMMDD-') || LPAD(SEQ_ACTOR_PK.NEXTVAL, 6, '0') , 'Eric Christmas', '배우사진');</v>
      </c>
    </row>
    <row r="35" spans="1:8" x14ac:dyDescent="0.3">
      <c r="A35" s="9" t="s">
        <v>489</v>
      </c>
      <c r="B35" t="s">
        <v>166</v>
      </c>
      <c r="C35" t="s">
        <v>85</v>
      </c>
      <c r="H35" t="str">
        <f t="shared" si="0"/>
        <v xml:space="preserve"> INSERT INTO ACTOR (ACTOR_ID, ACTOR_NAME, ACTOR_PROFILE_URL) VALUES ('AC-' || TO_CHAR(SYSDATE, 'YYYYMMDD-') || LPAD(SEQ_ACTOR_PK.NEXTVAL, 6, '0') , 'Jack Riley', '배우사진');</v>
      </c>
    </row>
    <row r="36" spans="1:8" x14ac:dyDescent="0.3">
      <c r="A36" s="9" t="s">
        <v>491</v>
      </c>
      <c r="B36" t="s">
        <v>167</v>
      </c>
      <c r="C36" t="s">
        <v>85</v>
      </c>
      <c r="H36" t="str">
        <f t="shared" si="0"/>
        <v xml:space="preserve"> INSERT INTO ACTOR (ACTOR_ID, ACTOR_NAME, ACTOR_PROFILE_URL) VALUES ('AC-' || TO_CHAR(SYSDATE, 'YYYYMMDD-') || LPAD(SEQ_ACTOR_PK.NEXTVAL, 6, '0') , 'Nigel Barber', '배우사진');</v>
      </c>
    </row>
    <row r="37" spans="1:8" x14ac:dyDescent="0.3">
      <c r="A37" s="9" t="s">
        <v>493</v>
      </c>
      <c r="B37" t="s">
        <v>168</v>
      </c>
      <c r="C37" t="s">
        <v>85</v>
      </c>
      <c r="H37" t="str">
        <f t="shared" si="0"/>
        <v xml:space="preserve"> INSERT INTO ACTOR (ACTOR_ID, ACTOR_NAME, ACTOR_PROFILE_URL) VALUES ('AC-' || TO_CHAR(SYSDATE, 'YYYYMMDD-') || LPAD(SEQ_ACTOR_PK.NEXTVAL, 6, '0') , 'John De Bello', '배우사진');</v>
      </c>
    </row>
    <row r="38" spans="1:8" x14ac:dyDescent="0.3">
      <c r="A38" s="9" t="s">
        <v>496</v>
      </c>
      <c r="B38" t="s">
        <v>181</v>
      </c>
      <c r="C38" t="s">
        <v>85</v>
      </c>
      <c r="H38" t="str">
        <f t="shared" si="0"/>
        <v xml:space="preserve"> INSERT INTO ACTOR (ACTOR_ID, ACTOR_NAME, ACTOR_PROFILE_URL) VALUES ('AC-' || TO_CHAR(SYSDATE, 'YYYYMMDD-') || LPAD(SEQ_ACTOR_PK.NEXTVAL, 6, '0') , '브래드 피트', '배우사진');</v>
      </c>
    </row>
    <row r="39" spans="1:8" x14ac:dyDescent="0.3">
      <c r="A39" s="9" t="s">
        <v>498</v>
      </c>
      <c r="B39" t="s">
        <v>182</v>
      </c>
      <c r="C39" t="s">
        <v>85</v>
      </c>
      <c r="H39" t="str">
        <f t="shared" si="0"/>
        <v xml:space="preserve"> INSERT INTO ACTOR (ACTOR_ID, ACTOR_NAME, ACTOR_PROFILE_URL) VALUES ('AC-' || TO_CHAR(SYSDATE, 'YYYYMMDD-') || LPAD(SEQ_ACTOR_PK.NEXTVAL, 6, '0') , '멜라니 로랑', '배우사진');</v>
      </c>
    </row>
    <row r="40" spans="1:8" x14ac:dyDescent="0.3">
      <c r="A40" s="9" t="s">
        <v>500</v>
      </c>
      <c r="B40" t="s">
        <v>183</v>
      </c>
      <c r="C40" t="s">
        <v>85</v>
      </c>
      <c r="H40" t="str">
        <f t="shared" si="0"/>
        <v xml:space="preserve"> INSERT INTO ACTOR (ACTOR_ID, ACTOR_NAME, ACTOR_PROFILE_URL) VALUES ('AC-' || TO_CHAR(SYSDATE, 'YYYYMMDD-') || LPAD(SEQ_ACTOR_PK.NEXTVAL, 6, '0') , '크리스토프 발츠', '배우사진');</v>
      </c>
    </row>
    <row r="41" spans="1:8" x14ac:dyDescent="0.3">
      <c r="A41" s="9" t="s">
        <v>502</v>
      </c>
      <c r="B41" t="s">
        <v>184</v>
      </c>
      <c r="C41" t="s">
        <v>85</v>
      </c>
      <c r="H41" t="str">
        <f t="shared" si="0"/>
        <v xml:space="preserve"> INSERT INTO ACTOR (ACTOR_ID, ACTOR_NAME, ACTOR_PROFILE_URL) VALUES ('AC-' || TO_CHAR(SYSDATE, 'YYYYMMDD-') || LPAD(SEQ_ACTOR_PK.NEXTVAL, 6, '0') , '일라이 로스', '배우사진');</v>
      </c>
    </row>
    <row r="42" spans="1:8" x14ac:dyDescent="0.3">
      <c r="A42" s="9" t="s">
        <v>504</v>
      </c>
      <c r="B42" t="s">
        <v>185</v>
      </c>
      <c r="C42" t="s">
        <v>85</v>
      </c>
      <c r="H42" t="str">
        <f t="shared" si="0"/>
        <v xml:space="preserve"> INSERT INTO ACTOR (ACTOR_ID, ACTOR_NAME, ACTOR_PROFILE_URL) VALUES ('AC-' || TO_CHAR(SYSDATE, 'YYYYMMDD-') || LPAD(SEQ_ACTOR_PK.NEXTVAL, 6, '0') , '마이클 패스벤더', '배우사진');</v>
      </c>
    </row>
    <row r="43" spans="1:8" x14ac:dyDescent="0.3">
      <c r="A43" s="9" t="s">
        <v>506</v>
      </c>
      <c r="B43" t="s">
        <v>186</v>
      </c>
      <c r="C43" t="s">
        <v>85</v>
      </c>
      <c r="H43" t="str">
        <f t="shared" si="0"/>
        <v xml:space="preserve"> INSERT INTO ACTOR (ACTOR_ID, ACTOR_NAME, ACTOR_PROFILE_URL) VALUES ('AC-' || TO_CHAR(SYSDATE, 'YYYYMMDD-') || LPAD(SEQ_ACTOR_PK.NEXTVAL, 6, '0') , '다이앤 크루거', '배우사진');</v>
      </c>
    </row>
    <row r="44" spans="1:8" x14ac:dyDescent="0.3">
      <c r="A44" s="9" t="s">
        <v>508</v>
      </c>
      <c r="B44" t="s">
        <v>187</v>
      </c>
      <c r="C44" t="s">
        <v>85</v>
      </c>
      <c r="H44" t="str">
        <f t="shared" si="0"/>
        <v xml:space="preserve"> INSERT INTO ACTOR (ACTOR_ID, ACTOR_NAME, ACTOR_PROFILE_URL) VALUES ('AC-' || TO_CHAR(SYSDATE, 'YYYYMMDD-') || LPAD(SEQ_ACTOR_PK.NEXTVAL, 6, '0') , '다니엘 브륄', '배우사진');</v>
      </c>
    </row>
    <row r="45" spans="1:8" x14ac:dyDescent="0.3">
      <c r="A45" s="9" t="s">
        <v>510</v>
      </c>
      <c r="B45" t="s">
        <v>188</v>
      </c>
      <c r="C45" t="s">
        <v>85</v>
      </c>
      <c r="H45" t="str">
        <f t="shared" si="0"/>
        <v xml:space="preserve"> INSERT INTO ACTOR (ACTOR_ID, ACTOR_NAME, ACTOR_PROFILE_URL) VALUES ('AC-' || TO_CHAR(SYSDATE, 'YYYYMMDD-') || LPAD(SEQ_ACTOR_PK.NEXTVAL, 6, '0') , '틸 슈바이거', '배우사진');</v>
      </c>
    </row>
    <row r="46" spans="1:8" x14ac:dyDescent="0.3">
      <c r="A46" s="9" t="s">
        <v>512</v>
      </c>
      <c r="B46" t="s">
        <v>189</v>
      </c>
      <c r="C46" t="s">
        <v>85</v>
      </c>
      <c r="H46" t="str">
        <f t="shared" si="0"/>
        <v xml:space="preserve"> INSERT INTO ACTOR (ACTOR_ID, ACTOR_NAME, ACTOR_PROFILE_URL) VALUES ('AC-' || TO_CHAR(SYSDATE, 'YYYYMMDD-') || LPAD(SEQ_ACTOR_PK.NEXTVAL, 6, '0') , 'Gedeon Burkhard', '배우사진');</v>
      </c>
    </row>
    <row r="47" spans="1:8" x14ac:dyDescent="0.3">
      <c r="A47" s="9" t="s">
        <v>514</v>
      </c>
      <c r="B47" t="s">
        <v>199</v>
      </c>
      <c r="C47" t="s">
        <v>85</v>
      </c>
      <c r="H47" t="str">
        <f t="shared" si="0"/>
        <v xml:space="preserve"> INSERT INTO ACTOR (ACTOR_ID, ACTOR_NAME, ACTOR_PROFILE_URL) VALUES ('AC-' || TO_CHAR(SYSDATE, 'YYYYMMDD-') || LPAD(SEQ_ACTOR_PK.NEXTVAL, 6, '0') , '크리스 햄스워스', '배우사진');</v>
      </c>
    </row>
    <row r="48" spans="1:8" x14ac:dyDescent="0.3">
      <c r="A48" s="9" t="s">
        <v>516</v>
      </c>
      <c r="B48" t="s">
        <v>200</v>
      </c>
      <c r="C48" t="s">
        <v>85</v>
      </c>
      <c r="H48" t="str">
        <f t="shared" si="0"/>
        <v xml:space="preserve"> INSERT INTO ACTOR (ACTOR_ID, ACTOR_NAME, ACTOR_PROFILE_URL) VALUES ('AC-' || TO_CHAR(SYSDATE, 'YYYYMMDD-') || LPAD(SEQ_ACTOR_PK.NEXTVAL, 6, '0') , 'Rudhraksh Jaiswal', '배우사진');</v>
      </c>
    </row>
    <row r="49" spans="1:8" x14ac:dyDescent="0.3">
      <c r="A49" s="9" t="s">
        <v>518</v>
      </c>
      <c r="B49" t="s">
        <v>201</v>
      </c>
      <c r="C49" t="s">
        <v>85</v>
      </c>
      <c r="H49" t="str">
        <f t="shared" si="0"/>
        <v xml:space="preserve"> INSERT INTO ACTOR (ACTOR_ID, ACTOR_NAME, ACTOR_PROFILE_URL) VALUES ('AC-' || TO_CHAR(SYSDATE, 'YYYYMMDD-') || LPAD(SEQ_ACTOR_PK.NEXTVAL, 6, '0') , 'Randeep hooda', '배우사진');</v>
      </c>
    </row>
    <row r="50" spans="1:8" x14ac:dyDescent="0.3">
      <c r="A50" s="9" t="s">
        <v>520</v>
      </c>
      <c r="B50" t="s">
        <v>202</v>
      </c>
      <c r="C50" t="s">
        <v>85</v>
      </c>
      <c r="H50" t="str">
        <f t="shared" si="0"/>
        <v xml:space="preserve"> INSERT INTO ACTOR (ACTOR_ID, ACTOR_NAME, ACTOR_PROFILE_URL) VALUES ('AC-' || TO_CHAR(SYSDATE, 'YYYYMMDD-') || LPAD(SEQ_ACTOR_PK.NEXTVAL, 6, '0') , '골쉬프테 파라하니', '배우사진');</v>
      </c>
    </row>
    <row r="51" spans="1:8" x14ac:dyDescent="0.3">
      <c r="A51" s="9" t="s">
        <v>522</v>
      </c>
      <c r="B51" t="s">
        <v>203</v>
      </c>
      <c r="C51" t="s">
        <v>85</v>
      </c>
      <c r="H51" t="str">
        <f t="shared" si="0"/>
        <v xml:space="preserve"> INSERT INTO ACTOR (ACTOR_ID, ACTOR_NAME, ACTOR_PROFILE_URL) VALUES ('AC-' || TO_CHAR(SYSDATE, 'YYYYMMDD-') || LPAD(SEQ_ACTOR_PK.NEXTVAL, 6, '0') , 'Pankaj Tripathi', '배우사진');</v>
      </c>
    </row>
    <row r="52" spans="1:8" x14ac:dyDescent="0.3">
      <c r="A52" s="9" t="s">
        <v>524</v>
      </c>
      <c r="B52" t="s">
        <v>204</v>
      </c>
      <c r="C52" t="s">
        <v>85</v>
      </c>
      <c r="H52" t="str">
        <f t="shared" si="0"/>
        <v xml:space="preserve"> INSERT INTO ACTOR (ACTOR_ID, ACTOR_NAME, ACTOR_PROFILE_URL) VALUES ('AC-' || TO_CHAR(SYSDATE, 'YYYYMMDD-') || LPAD(SEQ_ACTOR_PK.NEXTVAL, 6, '0') , '데이비드 하버', '배우사진');</v>
      </c>
    </row>
    <row r="53" spans="1:8" x14ac:dyDescent="0.3">
      <c r="A53" s="9" t="s">
        <v>526</v>
      </c>
      <c r="B53" t="s">
        <v>205</v>
      </c>
      <c r="C53" t="s">
        <v>85</v>
      </c>
      <c r="H53" t="str">
        <f t="shared" si="0"/>
        <v xml:space="preserve"> INSERT INTO ACTOR (ACTOR_ID, ACTOR_NAME, ACTOR_PROFILE_URL) VALUES ('AC-' || TO_CHAR(SYSDATE, 'YYYYMMDD-') || LPAD(SEQ_ACTOR_PK.NEXTVAL, 6, '0') , 'Bryon Lerum', '배우사진');</v>
      </c>
    </row>
    <row r="54" spans="1:8" x14ac:dyDescent="0.3">
      <c r="A54" s="9" t="s">
        <v>528</v>
      </c>
      <c r="B54" t="s">
        <v>206</v>
      </c>
      <c r="C54" t="s">
        <v>85</v>
      </c>
      <c r="H54" t="str">
        <f t="shared" si="0"/>
        <v xml:space="preserve"> INSERT INTO ACTOR (ACTOR_ID, ACTOR_NAME, ACTOR_PROFILE_URL) VALUES ('AC-' || TO_CHAR(SYSDATE, 'YYYYMMDD-') || LPAD(SEQ_ACTOR_PK.NEXTVAL, 6, '0') , 'Ryder Lerum', '배우사진');</v>
      </c>
    </row>
    <row r="55" spans="1:8" x14ac:dyDescent="0.3">
      <c r="A55" s="9" t="s">
        <v>530</v>
      </c>
      <c r="B55" t="s">
        <v>207</v>
      </c>
      <c r="C55" t="s">
        <v>85</v>
      </c>
      <c r="H55" t="str">
        <f t="shared" si="0"/>
        <v xml:space="preserve"> INSERT INTO ACTOR (ACTOR_ID, ACTOR_NAME, ACTOR_PROFILE_URL) VALUES ('AC-' || TO_CHAR(SYSDATE, 'YYYYMMDD-') || LPAD(SEQ_ACTOR_PK.NEXTVAL, 6, '0') , 'Shivam Vichare', '배우사진');</v>
      </c>
    </row>
    <row r="56" spans="1:8" x14ac:dyDescent="0.3">
      <c r="A56" s="9" t="s">
        <v>532</v>
      </c>
      <c r="B56" t="s">
        <v>224</v>
      </c>
      <c r="C56" t="s">
        <v>85</v>
      </c>
      <c r="H56" t="str">
        <f t="shared" si="0"/>
        <v xml:space="preserve"> INSERT INTO ACTOR (ACTOR_ID, ACTOR_NAME, ACTOR_PROFILE_URL) VALUES ('AC-' || TO_CHAR(SYSDATE, 'YYYYMMDD-') || LPAD(SEQ_ACTOR_PK.NEXTVAL, 6, '0') , '조지 맥케이 ', '배우사진');</v>
      </c>
    </row>
    <row r="57" spans="1:8" x14ac:dyDescent="0.3">
      <c r="A57" s="9" t="s">
        <v>534</v>
      </c>
      <c r="B57" t="s">
        <v>225</v>
      </c>
      <c r="C57" t="s">
        <v>85</v>
      </c>
      <c r="H57" t="str">
        <f t="shared" si="0"/>
        <v xml:space="preserve"> INSERT INTO ACTOR (ACTOR_ID, ACTOR_NAME, ACTOR_PROFILE_URL) VALUES ('AC-' || TO_CHAR(SYSDATE, 'YYYYMMDD-') || LPAD(SEQ_ACTOR_PK.NEXTVAL, 6, '0') , '딘-찰스 채프먼', '배우사진');</v>
      </c>
    </row>
    <row r="58" spans="1:8" x14ac:dyDescent="0.3">
      <c r="A58" s="9" t="s">
        <v>536</v>
      </c>
      <c r="B58" t="s">
        <v>226</v>
      </c>
      <c r="C58" t="s">
        <v>85</v>
      </c>
      <c r="H58" t="str">
        <f t="shared" si="0"/>
        <v xml:space="preserve"> INSERT INTO ACTOR (ACTOR_ID, ACTOR_NAME, ACTOR_PROFILE_URL) VALUES ('AC-' || TO_CHAR(SYSDATE, 'YYYYMMDD-') || LPAD(SEQ_ACTOR_PK.NEXTVAL, 6, '0') , '마크 스트롱', '배우사진');</v>
      </c>
    </row>
    <row r="59" spans="1:8" x14ac:dyDescent="0.3">
      <c r="A59" s="9" t="s">
        <v>538</v>
      </c>
      <c r="B59" t="s">
        <v>227</v>
      </c>
      <c r="C59" t="s">
        <v>85</v>
      </c>
      <c r="H59" t="str">
        <f t="shared" si="0"/>
        <v xml:space="preserve"> INSERT INTO ACTOR (ACTOR_ID, ACTOR_NAME, ACTOR_PROFILE_URL) VALUES ('AC-' || TO_CHAR(SYSDATE, 'YYYYMMDD-') || LPAD(SEQ_ACTOR_PK.NEXTVAL, 6, '0') , '앤드류 스콧', '배우사진');</v>
      </c>
    </row>
    <row r="60" spans="1:8" x14ac:dyDescent="0.3">
      <c r="A60" s="9" t="s">
        <v>540</v>
      </c>
      <c r="B60" t="s">
        <v>228</v>
      </c>
      <c r="C60" t="s">
        <v>85</v>
      </c>
      <c r="H60" t="str">
        <f t="shared" si="0"/>
        <v xml:space="preserve"> INSERT INTO ACTOR (ACTOR_ID, ACTOR_NAME, ACTOR_PROFILE_URL) VALUES ('AC-' || TO_CHAR(SYSDATE, 'YYYYMMDD-') || LPAD(SEQ_ACTOR_PK.NEXTVAL, 6, '0') , '리차드 매든', '배우사진');</v>
      </c>
    </row>
    <row r="61" spans="1:8" x14ac:dyDescent="0.3">
      <c r="A61" s="9" t="s">
        <v>542</v>
      </c>
      <c r="B61" t="s">
        <v>229</v>
      </c>
      <c r="C61" t="s">
        <v>85</v>
      </c>
      <c r="H61" t="str">
        <f t="shared" si="0"/>
        <v xml:space="preserve"> INSERT INTO ACTOR (ACTOR_ID, ACTOR_NAME, ACTOR_PROFILE_URL) VALUES ('AC-' || TO_CHAR(SYSDATE, 'YYYYMMDD-') || LPAD(SEQ_ACTOR_PK.NEXTVAL, 6, '0') , '클레어 듀버크', '배우사진');</v>
      </c>
    </row>
    <row r="62" spans="1:8" x14ac:dyDescent="0.3">
      <c r="A62" s="9" t="s">
        <v>544</v>
      </c>
      <c r="B62" t="s">
        <v>230</v>
      </c>
      <c r="C62" t="s">
        <v>85</v>
      </c>
      <c r="H62" t="str">
        <f t="shared" si="0"/>
        <v xml:space="preserve"> INSERT INTO ACTOR (ACTOR_ID, ACTOR_NAME, ACTOR_PROFILE_URL) VALUES ('AC-' || TO_CHAR(SYSDATE, 'YYYYMMDD-') || LPAD(SEQ_ACTOR_PK.NEXTVAL, 6, '0') , '콜린 퍼스', '배우사진');</v>
      </c>
    </row>
    <row r="63" spans="1:8" x14ac:dyDescent="0.3">
      <c r="A63" s="9" t="s">
        <v>546</v>
      </c>
      <c r="B63" t="s">
        <v>231</v>
      </c>
      <c r="C63" t="s">
        <v>85</v>
      </c>
      <c r="H63" t="str">
        <f t="shared" si="0"/>
        <v xml:space="preserve"> INSERT INTO ACTOR (ACTOR_ID, ACTOR_NAME, ACTOR_PROFILE_URL) VALUES ('AC-' || TO_CHAR(SYSDATE, 'YYYYMMDD-') || LPAD(SEQ_ACTOR_PK.NEXTVAL, 6, '0') , '베네딕트 컴버배치', '배우사진');</v>
      </c>
    </row>
    <row r="64" spans="1:8" x14ac:dyDescent="0.3">
      <c r="A64" s="9" t="s">
        <v>548</v>
      </c>
      <c r="B64" t="s">
        <v>232</v>
      </c>
      <c r="C64" t="s">
        <v>85</v>
      </c>
      <c r="H64" t="str">
        <f t="shared" si="0"/>
        <v xml:space="preserve"> INSERT INTO ACTOR (ACTOR_ID, ACTOR_NAME, ACTOR_PROFILE_URL) VALUES ('AC-' || TO_CHAR(SYSDATE, 'YYYYMMDD-') || LPAD(SEQ_ACTOR_PK.NEXTVAL, 6, '0') , '다니엘 메이스', '배우사진');</v>
      </c>
    </row>
    <row r="65" spans="1:8" x14ac:dyDescent="0.3">
      <c r="A65" s="9" t="s">
        <v>550</v>
      </c>
      <c r="B65" t="s">
        <v>243</v>
      </c>
      <c r="C65" t="s">
        <v>85</v>
      </c>
      <c r="H65" t="str">
        <f t="shared" si="0"/>
        <v xml:space="preserve"> INSERT INTO ACTOR (ACTOR_ID, ACTOR_NAME, ACTOR_PROFILE_URL) VALUES ('AC-' || TO_CHAR(SYSDATE, 'YYYYMMDD-') || LPAD(SEQ_ACTOR_PK.NEXTVAL, 6, '0') , '레오나르도 디카프리오', '배우사진');</v>
      </c>
    </row>
    <row r="66" spans="1:8" x14ac:dyDescent="0.3">
      <c r="A66" s="9" t="s">
        <v>552</v>
      </c>
      <c r="B66" t="s">
        <v>244</v>
      </c>
      <c r="C66" t="s">
        <v>85</v>
      </c>
      <c r="H66" t="str">
        <f t="shared" si="0"/>
        <v xml:space="preserve"> INSERT INTO ACTOR (ACTOR_ID, ACTOR_NAME, ACTOR_PROFILE_URL) VALUES ('AC-' || TO_CHAR(SYSDATE, 'YYYYMMDD-') || LPAD(SEQ_ACTOR_PK.NEXTVAL, 6, '0') , '조셉 고든레빗', '배우사진');</v>
      </c>
    </row>
    <row r="67" spans="1:8" x14ac:dyDescent="0.3">
      <c r="A67" s="9" t="s">
        <v>554</v>
      </c>
      <c r="B67" t="s">
        <v>245</v>
      </c>
      <c r="C67" t="s">
        <v>85</v>
      </c>
      <c r="H67" t="str">
        <f t="shared" ref="H67:H82" si="1">$E$2&amp;B67&amp;$F$2&amp;C67&amp;$G$2</f>
        <v xml:space="preserve"> INSERT INTO ACTOR (ACTOR_ID, ACTOR_NAME, ACTOR_PROFILE_URL) VALUES ('AC-' || TO_CHAR(SYSDATE, 'YYYYMMDD-') || LPAD(SEQ_ACTOR_PK.NEXTVAL, 6, '0') , '와타나베 켄', '배우사진');</v>
      </c>
    </row>
    <row r="68" spans="1:8" x14ac:dyDescent="0.3">
      <c r="A68" s="9" t="s">
        <v>556</v>
      </c>
      <c r="B68" t="s">
        <v>246</v>
      </c>
      <c r="C68" t="s">
        <v>85</v>
      </c>
      <c r="H68" t="str">
        <f t="shared" si="1"/>
        <v xml:space="preserve"> INSERT INTO ACTOR (ACTOR_ID, ACTOR_NAME, ACTOR_PROFILE_URL) VALUES ('AC-' || TO_CHAR(SYSDATE, 'YYYYMMDD-') || LPAD(SEQ_ACTOR_PK.NEXTVAL, 6, '0') , '톰 하디', '배우사진');</v>
      </c>
    </row>
    <row r="69" spans="1:8" x14ac:dyDescent="0.3">
      <c r="A69" s="9" t="s">
        <v>558</v>
      </c>
      <c r="B69" t="s">
        <v>247</v>
      </c>
      <c r="C69" t="s">
        <v>85</v>
      </c>
      <c r="H69" t="str">
        <f t="shared" si="1"/>
        <v xml:space="preserve"> INSERT INTO ACTOR (ACTOR_ID, ACTOR_NAME, ACTOR_PROFILE_URL) VALUES ('AC-' || TO_CHAR(SYSDATE, 'YYYYMMDD-') || LPAD(SEQ_ACTOR_PK.NEXTVAL, 6, '0') , '엘리엇 페이지', '배우사진');</v>
      </c>
    </row>
    <row r="70" spans="1:8" x14ac:dyDescent="0.3">
      <c r="A70" s="9" t="s">
        <v>560</v>
      </c>
      <c r="B70" t="s">
        <v>248</v>
      </c>
      <c r="C70" t="s">
        <v>85</v>
      </c>
      <c r="H70" t="str">
        <f t="shared" si="1"/>
        <v xml:space="preserve"> INSERT INTO ACTOR (ACTOR_ID, ACTOR_NAME, ACTOR_PROFILE_URL) VALUES ('AC-' || TO_CHAR(SYSDATE, 'YYYYMMDD-') || LPAD(SEQ_ACTOR_PK.NEXTVAL, 6, '0') , '딜립 라오 ', '배우사진');</v>
      </c>
    </row>
    <row r="71" spans="1:8" x14ac:dyDescent="0.3">
      <c r="A71" s="9" t="s">
        <v>562</v>
      </c>
      <c r="B71" t="s">
        <v>249</v>
      </c>
      <c r="C71" t="s">
        <v>85</v>
      </c>
      <c r="H71" t="str">
        <f t="shared" si="1"/>
        <v xml:space="preserve"> INSERT INTO ACTOR (ACTOR_ID, ACTOR_NAME, ACTOR_PROFILE_URL) VALUES ('AC-' || TO_CHAR(SYSDATE, 'YYYYMMDD-') || LPAD(SEQ_ACTOR_PK.NEXTVAL, 6, '0') , '킬리언 머피', '배우사진');</v>
      </c>
    </row>
    <row r="72" spans="1:8" x14ac:dyDescent="0.3">
      <c r="A72" s="9" t="s">
        <v>564</v>
      </c>
      <c r="B72" t="s">
        <v>250</v>
      </c>
      <c r="C72" t="s">
        <v>85</v>
      </c>
      <c r="H72" t="str">
        <f t="shared" si="1"/>
        <v xml:space="preserve"> INSERT INTO ACTOR (ACTOR_ID, ACTOR_NAME, ACTOR_PROFILE_URL) VALUES ('AC-' || TO_CHAR(SYSDATE, 'YYYYMMDD-') || LPAD(SEQ_ACTOR_PK.NEXTVAL, 6, '0') , '톰 베렌저', '배우사진');</v>
      </c>
    </row>
    <row r="73" spans="1:8" x14ac:dyDescent="0.3">
      <c r="A73" s="9" t="s">
        <v>566</v>
      </c>
      <c r="B73" t="s">
        <v>251</v>
      </c>
      <c r="C73" t="s">
        <v>85</v>
      </c>
      <c r="H73" t="str">
        <f t="shared" si="1"/>
        <v xml:space="preserve"> INSERT INTO ACTOR (ACTOR_ID, ACTOR_NAME, ACTOR_PROFILE_URL) VALUES ('AC-' || TO_CHAR(SYSDATE, 'YYYYMMDD-') || LPAD(SEQ_ACTOR_PK.NEXTVAL, 6, '0') , '마리옹 꼬띠아르', '배우사진');</v>
      </c>
    </row>
    <row r="74" spans="1:8" x14ac:dyDescent="0.3">
      <c r="A74" s="9" t="s">
        <v>568</v>
      </c>
      <c r="B74" t="s">
        <v>263</v>
      </c>
      <c r="C74" t="s">
        <v>85</v>
      </c>
      <c r="H74" t="str">
        <f t="shared" si="1"/>
        <v xml:space="preserve"> INSERT INTO ACTOR (ACTOR_ID, ACTOR_NAME, ACTOR_PROFILE_URL) VALUES ('AC-' || TO_CHAR(SYSDATE, 'YYYYMMDD-') || LPAD(SEQ_ACTOR_PK.NEXTVAL, 6, '0') , '키아누 리브스', '배우사진');</v>
      </c>
    </row>
    <row r="75" spans="1:8" x14ac:dyDescent="0.3">
      <c r="A75" s="9" t="s">
        <v>570</v>
      </c>
      <c r="B75" t="s">
        <v>264</v>
      </c>
      <c r="C75" t="s">
        <v>85</v>
      </c>
      <c r="H75" t="str">
        <f t="shared" si="1"/>
        <v xml:space="preserve"> INSERT INTO ACTOR (ACTOR_ID, ACTOR_NAME, ACTOR_PROFILE_URL) VALUES ('AC-' || TO_CHAR(SYSDATE, 'YYYYMMDD-') || LPAD(SEQ_ACTOR_PK.NEXTVAL, 6, '0') , '미카엘 니크비스트', '배우사진');</v>
      </c>
    </row>
    <row r="76" spans="1:8" x14ac:dyDescent="0.3">
      <c r="A76" s="9" t="s">
        <v>572</v>
      </c>
      <c r="B76" t="s">
        <v>265</v>
      </c>
      <c r="C76" t="s">
        <v>85</v>
      </c>
      <c r="H76" t="str">
        <f t="shared" si="1"/>
        <v xml:space="preserve"> INSERT INTO ACTOR (ACTOR_ID, ACTOR_NAME, ACTOR_PROFILE_URL) VALUES ('AC-' || TO_CHAR(SYSDATE, 'YYYYMMDD-') || LPAD(SEQ_ACTOR_PK.NEXTVAL, 6, '0') , '알피 앨런', '배우사진');</v>
      </c>
    </row>
    <row r="77" spans="1:8" x14ac:dyDescent="0.3">
      <c r="A77" s="9" t="s">
        <v>574</v>
      </c>
      <c r="B77" t="s">
        <v>266</v>
      </c>
      <c r="C77" t="s">
        <v>85</v>
      </c>
      <c r="H77" t="str">
        <f t="shared" si="1"/>
        <v xml:space="preserve"> INSERT INTO ACTOR (ACTOR_ID, ACTOR_NAME, ACTOR_PROFILE_URL) VALUES ('AC-' || TO_CHAR(SYSDATE, 'YYYYMMDD-') || LPAD(SEQ_ACTOR_PK.NEXTVAL, 6, '0') , '월렘 대포', '배우사진');</v>
      </c>
    </row>
    <row r="78" spans="1:8" x14ac:dyDescent="0.3">
      <c r="A78" s="9" t="s">
        <v>576</v>
      </c>
      <c r="B78" t="s">
        <v>267</v>
      </c>
      <c r="C78" t="s">
        <v>85</v>
      </c>
      <c r="H78" t="str">
        <f t="shared" si="1"/>
        <v xml:space="preserve"> INSERT INTO ACTOR (ACTOR_ID, ACTOR_NAME, ACTOR_PROFILE_URL) VALUES ('AC-' || TO_CHAR(SYSDATE, 'YYYYMMDD-') || LPAD(SEQ_ACTOR_PK.NEXTVAL, 6, '0') , '딘 윈터스', '배우사진');</v>
      </c>
    </row>
    <row r="79" spans="1:8" x14ac:dyDescent="0.3">
      <c r="A79" s="9" t="s">
        <v>578</v>
      </c>
      <c r="B79" t="s">
        <v>268</v>
      </c>
      <c r="C79" t="s">
        <v>85</v>
      </c>
      <c r="H79" t="str">
        <f t="shared" si="1"/>
        <v xml:space="preserve"> INSERT INTO ACTOR (ACTOR_ID, ACTOR_NAME, ACTOR_PROFILE_URL) VALUES ('AC-' || TO_CHAR(SYSDATE, 'YYYYMMDD-') || LPAD(SEQ_ACTOR_PK.NEXTVAL, 6, '0') , '에이드리언 팰리키', '배우사진');</v>
      </c>
    </row>
    <row r="80" spans="1:8" x14ac:dyDescent="0.3">
      <c r="A80" s="9" t="s">
        <v>580</v>
      </c>
      <c r="B80" t="s">
        <v>269</v>
      </c>
      <c r="C80" t="s">
        <v>85</v>
      </c>
      <c r="H80" t="str">
        <f t="shared" si="1"/>
        <v xml:space="preserve"> INSERT INTO ACTOR (ACTOR_ID, ACTOR_NAME, ACTOR_PROFILE_URL) VALUES ('AC-' || TO_CHAR(SYSDATE, 'YYYYMMDD-') || LPAD(SEQ_ACTOR_PK.NEXTVAL, 6, '0') , 'Omer Barnea', '배우사진');</v>
      </c>
    </row>
    <row r="81" spans="1:8" x14ac:dyDescent="0.3">
      <c r="A81" s="9" t="s">
        <v>582</v>
      </c>
      <c r="B81" t="s">
        <v>270</v>
      </c>
      <c r="C81" t="s">
        <v>85</v>
      </c>
      <c r="H81" t="str">
        <f t="shared" si="1"/>
        <v xml:space="preserve"> INSERT INTO ACTOR (ACTOR_ID, ACTOR_NAME, ACTOR_PROFILE_URL) VALUES ('AC-' || TO_CHAR(SYSDATE, 'YYYYMMDD-') || LPAD(SEQ_ACTOR_PK.NEXTVAL, 6, '0') , 'Toby Leonard Moore', '배우사진');</v>
      </c>
    </row>
    <row r="82" spans="1:8" x14ac:dyDescent="0.3">
      <c r="A82" s="9" t="s">
        <v>584</v>
      </c>
      <c r="B82" t="s">
        <v>271</v>
      </c>
      <c r="C82" t="s">
        <v>85</v>
      </c>
      <c r="H82" t="str">
        <f t="shared" si="1"/>
        <v xml:space="preserve"> INSERT INTO ACTOR (ACTOR_ID, ACTOR_NAME, ACTOR_PROFILE_URL) VALUES ('AC-' || TO_CHAR(SYSDATE, 'YYYYMMDD-') || LPAD(SEQ_ACTOR_PK.NEXTVAL, 6, '0') , '다니엘 베른하르트', '배우사진');</v>
      </c>
    </row>
    <row r="84" spans="1:8" x14ac:dyDescent="0.3">
      <c r="E84" t="s">
        <v>322</v>
      </c>
    </row>
    <row r="85" spans="1:8" x14ac:dyDescent="0.3">
      <c r="E85" t="s">
        <v>323</v>
      </c>
    </row>
    <row r="86" spans="1:8" x14ac:dyDescent="0.3">
      <c r="E86" t="s">
        <v>324</v>
      </c>
    </row>
    <row r="87" spans="1:8" x14ac:dyDescent="0.3">
      <c r="E87" t="s">
        <v>325</v>
      </c>
    </row>
    <row r="88" spans="1:8" x14ac:dyDescent="0.3">
      <c r="E88" t="s">
        <v>326</v>
      </c>
    </row>
    <row r="89" spans="1:8" x14ac:dyDescent="0.3">
      <c r="E89" t="s">
        <v>327</v>
      </c>
    </row>
    <row r="90" spans="1:8" x14ac:dyDescent="0.3">
      <c r="E90" t="s">
        <v>328</v>
      </c>
    </row>
    <row r="91" spans="1:8" x14ac:dyDescent="0.3">
      <c r="E91" t="s">
        <v>329</v>
      </c>
    </row>
    <row r="92" spans="1:8" x14ac:dyDescent="0.3">
      <c r="E92" t="s">
        <v>330</v>
      </c>
    </row>
    <row r="93" spans="1:8" x14ac:dyDescent="0.3">
      <c r="E93" t="s">
        <v>331</v>
      </c>
    </row>
    <row r="94" spans="1:8" x14ac:dyDescent="0.3">
      <c r="E94" t="s">
        <v>332</v>
      </c>
    </row>
    <row r="95" spans="1:8" x14ac:dyDescent="0.3">
      <c r="E95" t="s">
        <v>333</v>
      </c>
    </row>
    <row r="96" spans="1:8" x14ac:dyDescent="0.3">
      <c r="E96" t="s">
        <v>334</v>
      </c>
    </row>
    <row r="97" spans="5:5" x14ac:dyDescent="0.3">
      <c r="E97" t="s">
        <v>335</v>
      </c>
    </row>
    <row r="98" spans="5:5" x14ac:dyDescent="0.3">
      <c r="E98" t="s">
        <v>336</v>
      </c>
    </row>
    <row r="99" spans="5:5" x14ac:dyDescent="0.3">
      <c r="E99" t="s">
        <v>337</v>
      </c>
    </row>
    <row r="100" spans="5:5" x14ac:dyDescent="0.3">
      <c r="E100" t="s">
        <v>338</v>
      </c>
    </row>
    <row r="101" spans="5:5" x14ac:dyDescent="0.3">
      <c r="E101" t="s">
        <v>339</v>
      </c>
    </row>
    <row r="102" spans="5:5" x14ac:dyDescent="0.3">
      <c r="E102" t="s">
        <v>340</v>
      </c>
    </row>
    <row r="103" spans="5:5" x14ac:dyDescent="0.3">
      <c r="E103" t="s">
        <v>341</v>
      </c>
    </row>
    <row r="104" spans="5:5" x14ac:dyDescent="0.3">
      <c r="E104" t="s">
        <v>342</v>
      </c>
    </row>
    <row r="105" spans="5:5" x14ac:dyDescent="0.3">
      <c r="E105" t="s">
        <v>343</v>
      </c>
    </row>
    <row r="106" spans="5:5" x14ac:dyDescent="0.3">
      <c r="E106" t="s">
        <v>344</v>
      </c>
    </row>
    <row r="107" spans="5:5" x14ac:dyDescent="0.3">
      <c r="E107" t="s">
        <v>345</v>
      </c>
    </row>
    <row r="108" spans="5:5" x14ac:dyDescent="0.3">
      <c r="E108" t="s">
        <v>346</v>
      </c>
    </row>
    <row r="109" spans="5:5" x14ac:dyDescent="0.3">
      <c r="E109" t="s">
        <v>347</v>
      </c>
    </row>
    <row r="110" spans="5:5" x14ac:dyDescent="0.3">
      <c r="E110" t="s">
        <v>348</v>
      </c>
    </row>
    <row r="111" spans="5:5" x14ac:dyDescent="0.3">
      <c r="E111" t="s">
        <v>349</v>
      </c>
    </row>
    <row r="112" spans="5:5" x14ac:dyDescent="0.3">
      <c r="E112" t="s">
        <v>350</v>
      </c>
    </row>
    <row r="113" spans="5:5" x14ac:dyDescent="0.3">
      <c r="E113" t="s">
        <v>351</v>
      </c>
    </row>
    <row r="114" spans="5:5" x14ac:dyDescent="0.3">
      <c r="E114" t="s">
        <v>352</v>
      </c>
    </row>
    <row r="115" spans="5:5" x14ac:dyDescent="0.3">
      <c r="E115" t="s">
        <v>353</v>
      </c>
    </row>
    <row r="116" spans="5:5" x14ac:dyDescent="0.3">
      <c r="E116" t="s">
        <v>354</v>
      </c>
    </row>
    <row r="117" spans="5:5" x14ac:dyDescent="0.3">
      <c r="E117" t="s">
        <v>355</v>
      </c>
    </row>
    <row r="118" spans="5:5" x14ac:dyDescent="0.3">
      <c r="E118" t="s">
        <v>356</v>
      </c>
    </row>
    <row r="119" spans="5:5" x14ac:dyDescent="0.3">
      <c r="E119" t="s">
        <v>357</v>
      </c>
    </row>
    <row r="120" spans="5:5" x14ac:dyDescent="0.3">
      <c r="E120" t="s">
        <v>358</v>
      </c>
    </row>
    <row r="121" spans="5:5" x14ac:dyDescent="0.3">
      <c r="E121" t="s">
        <v>359</v>
      </c>
    </row>
    <row r="122" spans="5:5" x14ac:dyDescent="0.3">
      <c r="E122" t="s">
        <v>360</v>
      </c>
    </row>
    <row r="123" spans="5:5" x14ac:dyDescent="0.3">
      <c r="E123" t="s">
        <v>361</v>
      </c>
    </row>
    <row r="124" spans="5:5" x14ac:dyDescent="0.3">
      <c r="E124" t="s">
        <v>362</v>
      </c>
    </row>
    <row r="125" spans="5:5" x14ac:dyDescent="0.3">
      <c r="E125" t="s">
        <v>363</v>
      </c>
    </row>
    <row r="126" spans="5:5" x14ac:dyDescent="0.3">
      <c r="E126" t="s">
        <v>364</v>
      </c>
    </row>
    <row r="127" spans="5:5" x14ac:dyDescent="0.3">
      <c r="E127" t="s">
        <v>365</v>
      </c>
    </row>
    <row r="128" spans="5:5" x14ac:dyDescent="0.3">
      <c r="E128" t="s">
        <v>366</v>
      </c>
    </row>
    <row r="129" spans="5:5" x14ac:dyDescent="0.3">
      <c r="E129" t="s">
        <v>367</v>
      </c>
    </row>
    <row r="130" spans="5:5" x14ac:dyDescent="0.3">
      <c r="E130" t="s">
        <v>368</v>
      </c>
    </row>
    <row r="131" spans="5:5" x14ac:dyDescent="0.3">
      <c r="E131" t="s">
        <v>369</v>
      </c>
    </row>
    <row r="132" spans="5:5" x14ac:dyDescent="0.3">
      <c r="E132" t="s">
        <v>370</v>
      </c>
    </row>
    <row r="133" spans="5:5" x14ac:dyDescent="0.3">
      <c r="E133" t="s">
        <v>371</v>
      </c>
    </row>
    <row r="134" spans="5:5" x14ac:dyDescent="0.3">
      <c r="E134" t="s">
        <v>372</v>
      </c>
    </row>
    <row r="135" spans="5:5" x14ac:dyDescent="0.3">
      <c r="E135" t="s">
        <v>373</v>
      </c>
    </row>
    <row r="136" spans="5:5" x14ac:dyDescent="0.3">
      <c r="E136" t="s">
        <v>374</v>
      </c>
    </row>
    <row r="137" spans="5:5" x14ac:dyDescent="0.3">
      <c r="E137" t="s">
        <v>375</v>
      </c>
    </row>
    <row r="138" spans="5:5" x14ac:dyDescent="0.3">
      <c r="E138" t="s">
        <v>376</v>
      </c>
    </row>
    <row r="139" spans="5:5" x14ac:dyDescent="0.3">
      <c r="E139" t="s">
        <v>377</v>
      </c>
    </row>
    <row r="140" spans="5:5" x14ac:dyDescent="0.3">
      <c r="E140" t="s">
        <v>378</v>
      </c>
    </row>
    <row r="141" spans="5:5" x14ac:dyDescent="0.3">
      <c r="E141" t="s">
        <v>379</v>
      </c>
    </row>
    <row r="142" spans="5:5" x14ac:dyDescent="0.3">
      <c r="E142" t="s">
        <v>380</v>
      </c>
    </row>
    <row r="143" spans="5:5" x14ac:dyDescent="0.3">
      <c r="E143" t="s">
        <v>381</v>
      </c>
    </row>
    <row r="144" spans="5:5" x14ac:dyDescent="0.3">
      <c r="E144" t="s">
        <v>382</v>
      </c>
    </row>
    <row r="145" spans="5:5" x14ac:dyDescent="0.3">
      <c r="E145" t="s">
        <v>383</v>
      </c>
    </row>
    <row r="146" spans="5:5" x14ac:dyDescent="0.3">
      <c r="E146" t="s">
        <v>384</v>
      </c>
    </row>
    <row r="147" spans="5:5" x14ac:dyDescent="0.3">
      <c r="E147" t="s">
        <v>385</v>
      </c>
    </row>
    <row r="148" spans="5:5" x14ac:dyDescent="0.3">
      <c r="E148" t="s">
        <v>386</v>
      </c>
    </row>
    <row r="149" spans="5:5" x14ac:dyDescent="0.3">
      <c r="E149" t="s">
        <v>387</v>
      </c>
    </row>
    <row r="150" spans="5:5" x14ac:dyDescent="0.3">
      <c r="E150" t="s">
        <v>388</v>
      </c>
    </row>
    <row r="151" spans="5:5" x14ac:dyDescent="0.3">
      <c r="E151" t="s">
        <v>389</v>
      </c>
    </row>
    <row r="152" spans="5:5" x14ac:dyDescent="0.3">
      <c r="E152" t="s">
        <v>390</v>
      </c>
    </row>
    <row r="153" spans="5:5" x14ac:dyDescent="0.3">
      <c r="E153" t="s">
        <v>391</v>
      </c>
    </row>
    <row r="154" spans="5:5" x14ac:dyDescent="0.3">
      <c r="E154" t="s">
        <v>392</v>
      </c>
    </row>
    <row r="155" spans="5:5" x14ac:dyDescent="0.3">
      <c r="E155" t="s">
        <v>393</v>
      </c>
    </row>
    <row r="156" spans="5:5" x14ac:dyDescent="0.3">
      <c r="E156" t="s">
        <v>394</v>
      </c>
    </row>
    <row r="157" spans="5:5" x14ac:dyDescent="0.3">
      <c r="E157" t="s">
        <v>395</v>
      </c>
    </row>
    <row r="158" spans="5:5" x14ac:dyDescent="0.3">
      <c r="E158" t="s">
        <v>396</v>
      </c>
    </row>
    <row r="159" spans="5:5" x14ac:dyDescent="0.3">
      <c r="E159" t="s">
        <v>397</v>
      </c>
    </row>
    <row r="160" spans="5:5" x14ac:dyDescent="0.3">
      <c r="E160" t="s">
        <v>398</v>
      </c>
    </row>
    <row r="161" spans="5:5" x14ac:dyDescent="0.3">
      <c r="E161" t="s">
        <v>399</v>
      </c>
    </row>
    <row r="162" spans="5:5" x14ac:dyDescent="0.3">
      <c r="E162" t="s">
        <v>400</v>
      </c>
    </row>
    <row r="163" spans="5:5" x14ac:dyDescent="0.3">
      <c r="E163" t="s">
        <v>401</v>
      </c>
    </row>
    <row r="164" spans="5:5" x14ac:dyDescent="0.3">
      <c r="E164" t="s">
        <v>402</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8F01A-135E-4A97-B930-6B841D2C785D}">
  <dimension ref="A1:E34"/>
  <sheetViews>
    <sheetView tabSelected="1" workbookViewId="0">
      <selection activeCell="H17" sqref="H17"/>
    </sheetView>
  </sheetViews>
  <sheetFormatPr defaultRowHeight="16.5" x14ac:dyDescent="0.3"/>
  <cols>
    <col min="1" max="1" width="21" style="2" bestFit="1" customWidth="1"/>
    <col min="2" max="2" width="27.5" style="8" customWidth="1"/>
    <col min="3" max="3" width="44.5" style="8" customWidth="1"/>
    <col min="4" max="4" width="11.625" bestFit="1" customWidth="1"/>
  </cols>
  <sheetData>
    <row r="1" spans="1:5" x14ac:dyDescent="0.3">
      <c r="A1" s="2" t="s">
        <v>48</v>
      </c>
      <c r="B1" s="8" t="s">
        <v>43</v>
      </c>
      <c r="C1" s="8" t="s">
        <v>47</v>
      </c>
      <c r="D1" t="s">
        <v>31</v>
      </c>
      <c r="E1" t="s">
        <v>107</v>
      </c>
    </row>
    <row r="2" spans="1:5" x14ac:dyDescent="0.3">
      <c r="A2" s="2" t="s">
        <v>585</v>
      </c>
      <c r="B2" s="8" t="s">
        <v>586</v>
      </c>
      <c r="C2" s="8" t="s">
        <v>409</v>
      </c>
      <c r="D2" t="s">
        <v>33</v>
      </c>
      <c r="E2" t="s">
        <v>108</v>
      </c>
    </row>
    <row r="3" spans="1:5" x14ac:dyDescent="0.3">
      <c r="A3" s="2" t="s">
        <v>587</v>
      </c>
      <c r="B3" s="8" t="s">
        <v>586</v>
      </c>
      <c r="C3" s="8" t="s">
        <v>409</v>
      </c>
      <c r="D3" t="s">
        <v>34</v>
      </c>
      <c r="E3" t="s">
        <v>109</v>
      </c>
    </row>
    <row r="4" spans="1:5" x14ac:dyDescent="0.3">
      <c r="A4" s="2" t="s">
        <v>588</v>
      </c>
      <c r="B4" s="8" t="s">
        <v>586</v>
      </c>
      <c r="C4" s="8" t="s">
        <v>409</v>
      </c>
      <c r="D4" t="s">
        <v>35</v>
      </c>
      <c r="E4" t="s">
        <v>109</v>
      </c>
    </row>
    <row r="5" spans="1:5" x14ac:dyDescent="0.3">
      <c r="A5" s="2" t="s">
        <v>589</v>
      </c>
      <c r="B5" s="8" t="s">
        <v>586</v>
      </c>
      <c r="C5" s="8" t="s">
        <v>411</v>
      </c>
      <c r="D5" t="s">
        <v>33</v>
      </c>
      <c r="E5" s="5" t="s">
        <v>40</v>
      </c>
    </row>
    <row r="6" spans="1:5" x14ac:dyDescent="0.3">
      <c r="A6" s="2" t="s">
        <v>590</v>
      </c>
      <c r="B6" s="8" t="s">
        <v>586</v>
      </c>
      <c r="C6" s="8" t="s">
        <v>411</v>
      </c>
      <c r="D6" t="s">
        <v>46</v>
      </c>
      <c r="E6" s="5" t="s">
        <v>40</v>
      </c>
    </row>
    <row r="7" spans="1:5" x14ac:dyDescent="0.3">
      <c r="A7" s="2" t="s">
        <v>591</v>
      </c>
      <c r="B7" s="8" t="s">
        <v>592</v>
      </c>
      <c r="C7" s="8" t="s">
        <v>409</v>
      </c>
      <c r="D7" t="s">
        <v>33</v>
      </c>
      <c r="E7" t="s">
        <v>108</v>
      </c>
    </row>
    <row r="8" spans="1:5" x14ac:dyDescent="0.3">
      <c r="A8" s="2" t="s">
        <v>593</v>
      </c>
      <c r="B8" s="8" t="s">
        <v>592</v>
      </c>
      <c r="C8" s="8" t="s">
        <v>409</v>
      </c>
      <c r="D8" t="s">
        <v>34</v>
      </c>
      <c r="E8" t="s">
        <v>109</v>
      </c>
    </row>
    <row r="9" spans="1:5" x14ac:dyDescent="0.3">
      <c r="A9" s="2" t="s">
        <v>594</v>
      </c>
      <c r="B9" s="8" t="s">
        <v>592</v>
      </c>
      <c r="C9" s="8" t="s">
        <v>411</v>
      </c>
      <c r="D9" t="s">
        <v>33</v>
      </c>
      <c r="E9" s="5" t="s">
        <v>39</v>
      </c>
    </row>
    <row r="10" spans="1:5" x14ac:dyDescent="0.3">
      <c r="A10" s="2" t="s">
        <v>595</v>
      </c>
      <c r="B10" s="8" t="s">
        <v>592</v>
      </c>
      <c r="C10" s="8" t="s">
        <v>411</v>
      </c>
      <c r="D10" t="s">
        <v>46</v>
      </c>
      <c r="E10" s="5" t="s">
        <v>39</v>
      </c>
    </row>
    <row r="11" spans="1:5" x14ac:dyDescent="0.3">
      <c r="A11" s="2" t="s">
        <v>596</v>
      </c>
      <c r="B11" s="8" t="s">
        <v>597</v>
      </c>
      <c r="C11" s="8" t="s">
        <v>409</v>
      </c>
      <c r="D11" t="s">
        <v>34</v>
      </c>
      <c r="E11" t="s">
        <v>109</v>
      </c>
    </row>
    <row r="12" spans="1:5" x14ac:dyDescent="0.3">
      <c r="A12" s="2" t="s">
        <v>598</v>
      </c>
      <c r="B12" s="8" t="s">
        <v>599</v>
      </c>
      <c r="C12" s="8" t="s">
        <v>409</v>
      </c>
      <c r="D12" t="s">
        <v>34</v>
      </c>
      <c r="E12" t="s">
        <v>109</v>
      </c>
    </row>
    <row r="13" spans="1:5" x14ac:dyDescent="0.3">
      <c r="A13" s="2" t="s">
        <v>600</v>
      </c>
      <c r="B13" s="8" t="s">
        <v>601</v>
      </c>
      <c r="C13" s="8" t="s">
        <v>410</v>
      </c>
      <c r="D13" t="s">
        <v>34</v>
      </c>
      <c r="E13" t="s">
        <v>109</v>
      </c>
    </row>
    <row r="14" spans="1:5" x14ac:dyDescent="0.3">
      <c r="A14" s="2" t="s">
        <v>602</v>
      </c>
      <c r="B14" s="8" t="s">
        <v>601</v>
      </c>
      <c r="C14" s="8" t="s">
        <v>410</v>
      </c>
      <c r="D14" t="s">
        <v>35</v>
      </c>
      <c r="E14" t="s">
        <v>109</v>
      </c>
    </row>
    <row r="15" spans="1:5" x14ac:dyDescent="0.3">
      <c r="A15" s="2" t="s">
        <v>603</v>
      </c>
      <c r="B15" s="8" t="s">
        <v>604</v>
      </c>
      <c r="C15" s="8" t="s">
        <v>410</v>
      </c>
      <c r="D15" t="s">
        <v>33</v>
      </c>
      <c r="E15" t="s">
        <v>108</v>
      </c>
    </row>
    <row r="16" spans="1:5" x14ac:dyDescent="0.3">
      <c r="A16" s="2" t="s">
        <v>605</v>
      </c>
      <c r="B16" s="8" t="s">
        <v>606</v>
      </c>
      <c r="C16" s="8" t="s">
        <v>410</v>
      </c>
      <c r="D16" t="s">
        <v>34</v>
      </c>
      <c r="E16" t="s">
        <v>109</v>
      </c>
    </row>
    <row r="17" spans="1:5" x14ac:dyDescent="0.3">
      <c r="A17" s="2" t="s">
        <v>607</v>
      </c>
      <c r="B17" s="8" t="s">
        <v>608</v>
      </c>
      <c r="C17" s="8" t="s">
        <v>412</v>
      </c>
      <c r="D17" t="s">
        <v>33</v>
      </c>
      <c r="E17" t="s">
        <v>108</v>
      </c>
    </row>
    <row r="18" spans="1:5" x14ac:dyDescent="0.3">
      <c r="A18" s="2" t="s">
        <v>609</v>
      </c>
      <c r="B18" s="8" t="s">
        <v>610</v>
      </c>
      <c r="C18" s="8" t="s">
        <v>412</v>
      </c>
      <c r="D18" t="s">
        <v>34</v>
      </c>
      <c r="E18" t="s">
        <v>109</v>
      </c>
    </row>
    <row r="19" spans="1:5" x14ac:dyDescent="0.3">
      <c r="A19" s="2" t="s">
        <v>611</v>
      </c>
      <c r="B19" s="8" t="s">
        <v>612</v>
      </c>
      <c r="C19" s="8" t="s">
        <v>413</v>
      </c>
      <c r="D19" t="s">
        <v>33</v>
      </c>
      <c r="E19" t="s">
        <v>108</v>
      </c>
    </row>
    <row r="20" spans="1:5" x14ac:dyDescent="0.3">
      <c r="A20" s="2" t="s">
        <v>613</v>
      </c>
      <c r="B20" s="8" t="s">
        <v>612</v>
      </c>
      <c r="C20" s="8" t="s">
        <v>413</v>
      </c>
      <c r="D20" t="s">
        <v>34</v>
      </c>
      <c r="E20" t="s">
        <v>109</v>
      </c>
    </row>
    <row r="21" spans="1:5" x14ac:dyDescent="0.3">
      <c r="A21" s="2" t="s">
        <v>614</v>
      </c>
      <c r="B21" s="8" t="s">
        <v>615</v>
      </c>
      <c r="C21" s="8" t="s">
        <v>413</v>
      </c>
      <c r="D21" t="s">
        <v>34</v>
      </c>
      <c r="E21" t="s">
        <v>109</v>
      </c>
    </row>
    <row r="22" spans="1:5" x14ac:dyDescent="0.3">
      <c r="A22" s="2" t="s">
        <v>616</v>
      </c>
      <c r="B22" s="8" t="s">
        <v>617</v>
      </c>
      <c r="C22" s="8" t="s">
        <v>413</v>
      </c>
      <c r="D22" t="s">
        <v>34</v>
      </c>
      <c r="E22" t="s">
        <v>109</v>
      </c>
    </row>
    <row r="23" spans="1:5" x14ac:dyDescent="0.3">
      <c r="A23" s="2" t="s">
        <v>618</v>
      </c>
      <c r="B23" s="8" t="s">
        <v>619</v>
      </c>
      <c r="C23" s="8" t="s">
        <v>413</v>
      </c>
      <c r="D23" t="s">
        <v>34</v>
      </c>
      <c r="E23" t="s">
        <v>109</v>
      </c>
    </row>
    <row r="24" spans="1:5" x14ac:dyDescent="0.3">
      <c r="A24" s="2" t="s">
        <v>620</v>
      </c>
      <c r="B24" s="8" t="s">
        <v>621</v>
      </c>
      <c r="C24" s="8" t="s">
        <v>414</v>
      </c>
      <c r="D24" t="s">
        <v>33</v>
      </c>
      <c r="E24" t="s">
        <v>108</v>
      </c>
    </row>
    <row r="25" spans="1:5" x14ac:dyDescent="0.3">
      <c r="A25" s="2" t="s">
        <v>622</v>
      </c>
      <c r="B25" s="8" t="s">
        <v>621</v>
      </c>
      <c r="C25" s="8" t="s">
        <v>414</v>
      </c>
      <c r="D25" t="s">
        <v>34</v>
      </c>
      <c r="E25" t="s">
        <v>109</v>
      </c>
    </row>
    <row r="26" spans="1:5" x14ac:dyDescent="0.3">
      <c r="A26" s="2" t="s">
        <v>623</v>
      </c>
      <c r="B26" s="8" t="s">
        <v>624</v>
      </c>
      <c r="C26" s="8" t="s">
        <v>415</v>
      </c>
      <c r="D26" t="s">
        <v>33</v>
      </c>
      <c r="E26" t="s">
        <v>108</v>
      </c>
    </row>
    <row r="27" spans="1:5" x14ac:dyDescent="0.3">
      <c r="A27" s="2" t="s">
        <v>625</v>
      </c>
      <c r="B27" s="8" t="s">
        <v>626</v>
      </c>
      <c r="C27" s="8" t="s">
        <v>415</v>
      </c>
      <c r="D27" t="s">
        <v>34</v>
      </c>
      <c r="E27" t="s">
        <v>109</v>
      </c>
    </row>
    <row r="28" spans="1:5" x14ac:dyDescent="0.3">
      <c r="A28" s="2" t="s">
        <v>627</v>
      </c>
      <c r="B28" s="8" t="s">
        <v>628</v>
      </c>
      <c r="C28" s="8" t="s">
        <v>416</v>
      </c>
      <c r="D28" t="s">
        <v>33</v>
      </c>
      <c r="E28" t="s">
        <v>108</v>
      </c>
    </row>
    <row r="29" spans="1:5" x14ac:dyDescent="0.3">
      <c r="A29" s="2" t="s">
        <v>629</v>
      </c>
      <c r="B29" s="8" t="s">
        <v>628</v>
      </c>
      <c r="C29" s="8" t="s">
        <v>416</v>
      </c>
      <c r="D29" t="s">
        <v>46</v>
      </c>
      <c r="E29" t="s">
        <v>109</v>
      </c>
    </row>
    <row r="30" spans="1:5" x14ac:dyDescent="0.3">
      <c r="A30" s="2" t="s">
        <v>630</v>
      </c>
      <c r="B30" s="8" t="s">
        <v>631</v>
      </c>
      <c r="C30" s="8" t="s">
        <v>416</v>
      </c>
      <c r="D30" t="s">
        <v>46</v>
      </c>
      <c r="E30" t="s">
        <v>109</v>
      </c>
    </row>
    <row r="31" spans="1:5" x14ac:dyDescent="0.3">
      <c r="A31" s="2" t="s">
        <v>632</v>
      </c>
      <c r="B31" s="8" t="s">
        <v>633</v>
      </c>
      <c r="C31" s="8" t="s">
        <v>417</v>
      </c>
      <c r="D31" t="s">
        <v>33</v>
      </c>
      <c r="E31" t="s">
        <v>108</v>
      </c>
    </row>
    <row r="32" spans="1:5" x14ac:dyDescent="0.3">
      <c r="A32" s="2" t="s">
        <v>634</v>
      </c>
      <c r="B32" s="8" t="s">
        <v>633</v>
      </c>
      <c r="C32" s="8" t="s">
        <v>417</v>
      </c>
      <c r="D32" t="s">
        <v>46</v>
      </c>
      <c r="E32" t="s">
        <v>109</v>
      </c>
    </row>
    <row r="33" spans="1:5" x14ac:dyDescent="0.3">
      <c r="A33" s="2" t="s">
        <v>635</v>
      </c>
      <c r="B33" s="8" t="s">
        <v>636</v>
      </c>
      <c r="C33" s="8" t="s">
        <v>418</v>
      </c>
      <c r="D33" t="s">
        <v>33</v>
      </c>
      <c r="E33" t="s">
        <v>108</v>
      </c>
    </row>
    <row r="34" spans="1:5" x14ac:dyDescent="0.3">
      <c r="A34" s="2" t="s">
        <v>637</v>
      </c>
      <c r="B34" s="8" t="s">
        <v>638</v>
      </c>
      <c r="C34" s="8" t="s">
        <v>418</v>
      </c>
      <c r="D34" t="s">
        <v>46</v>
      </c>
      <c r="E34" t="s">
        <v>109</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C7385-404F-4A6F-A62F-CD2B2DBED8A8}">
  <dimension ref="A1:G43"/>
  <sheetViews>
    <sheetView topLeftCell="B16" workbookViewId="0">
      <selection activeCell="F29" sqref="F29"/>
    </sheetView>
  </sheetViews>
  <sheetFormatPr defaultRowHeight="16.5" x14ac:dyDescent="0.3"/>
  <cols>
    <col min="1" max="1" width="27.5" style="9" customWidth="1"/>
    <col min="2" max="2" width="19.75" bestFit="1" customWidth="1"/>
    <col min="5" max="5" width="85.25" bestFit="1" customWidth="1"/>
    <col min="7" max="7" width="61.25" customWidth="1"/>
  </cols>
  <sheetData>
    <row r="1" spans="1:7" x14ac:dyDescent="0.3">
      <c r="A1" s="9" t="s">
        <v>43</v>
      </c>
      <c r="B1" t="s">
        <v>30</v>
      </c>
    </row>
    <row r="2" spans="1:7" x14ac:dyDescent="0.3">
      <c r="A2" s="9" t="s">
        <v>586</v>
      </c>
      <c r="B2" t="s">
        <v>32</v>
      </c>
      <c r="C2">
        <f>LEN(B2)</f>
        <v>4</v>
      </c>
      <c r="E2" t="s">
        <v>296</v>
      </c>
      <c r="F2" s="17" t="s">
        <v>297</v>
      </c>
      <c r="G2" t="str">
        <f>$E$2&amp;B2&amp;$F$2</f>
        <v>('PD-' || TO_CHAR(SYSDATE, 'YYYYMMDD-') || LPAD(SEQ_PRODUCER_PK.NEXTVAL, 6, '0'), '매기 강)</v>
      </c>
    </row>
    <row r="3" spans="1:7" x14ac:dyDescent="0.3">
      <c r="A3" s="9" t="s">
        <v>592</v>
      </c>
      <c r="B3" t="s">
        <v>44</v>
      </c>
      <c r="C3">
        <f t="shared" ref="C3:C22" si="0">LEN(B3)</f>
        <v>7</v>
      </c>
      <c r="G3" t="str">
        <f t="shared" ref="G3:G22" si="1">$E$2&amp;B3&amp;$F$2</f>
        <v>('PD-' || TO_CHAR(SYSDATE, 'YYYYMMDD-') || LPAD(SEQ_PRODUCER_PK.NEXTVAL, 6, '0'), '크리스아펠한스)</v>
      </c>
    </row>
    <row r="4" spans="1:7" x14ac:dyDescent="0.3">
      <c r="A4" s="9" t="s">
        <v>597</v>
      </c>
      <c r="B4" t="s">
        <v>45</v>
      </c>
      <c r="C4">
        <f t="shared" si="0"/>
        <v>7</v>
      </c>
      <c r="G4" t="str">
        <f t="shared" si="1"/>
        <v>('PD-' || TO_CHAR(SYSDATE, 'YYYYMMDD-') || LPAD(SEQ_PRODUCER_PK.NEXTVAL, 6, '0'), '다나 히메네스)</v>
      </c>
    </row>
    <row r="5" spans="1:7" x14ac:dyDescent="0.3">
      <c r="A5" s="9" t="s">
        <v>599</v>
      </c>
      <c r="B5" t="s">
        <v>36</v>
      </c>
      <c r="C5">
        <f t="shared" si="0"/>
        <v>6</v>
      </c>
      <c r="G5" t="str">
        <f t="shared" si="1"/>
        <v>('PD-' || TO_CHAR(SYSDATE, 'YYYYMMDD-') || LPAD(SEQ_PRODUCER_PK.NEXTVAL, 6, '0'), '해나 맥메찬)</v>
      </c>
    </row>
    <row r="6" spans="1:7" x14ac:dyDescent="0.3">
      <c r="A6" s="9" t="s">
        <v>601</v>
      </c>
      <c r="B6" t="s">
        <v>104</v>
      </c>
      <c r="C6">
        <f t="shared" si="0"/>
        <v>9</v>
      </c>
      <c r="G6" t="str">
        <f t="shared" si="1"/>
        <v>('PD-' || TO_CHAR(SYSDATE, 'YYYYMMDD-') || LPAD(SEQ_PRODUCER_PK.NEXTVAL, 6, '0'), 'Marc Behm)</v>
      </c>
    </row>
    <row r="7" spans="1:7" x14ac:dyDescent="0.3">
      <c r="A7" s="9" t="s">
        <v>604</v>
      </c>
      <c r="B7" t="s">
        <v>105</v>
      </c>
      <c r="C7">
        <f t="shared" si="0"/>
        <v>14</v>
      </c>
      <c r="G7" t="str">
        <f t="shared" si="1"/>
        <v>('PD-' || TO_CHAR(SYSDATE, 'YYYYMMDD-') || LPAD(SEQ_PRODUCER_PK.NEXTVAL, 6, '0'), 'Richard Lester)</v>
      </c>
    </row>
    <row r="8" spans="1:7" x14ac:dyDescent="0.3">
      <c r="A8" s="9" t="s">
        <v>606</v>
      </c>
      <c r="B8" t="s">
        <v>106</v>
      </c>
      <c r="C8">
        <f t="shared" si="0"/>
        <v>12</v>
      </c>
      <c r="G8" t="str">
        <f t="shared" si="1"/>
        <v>('PD-' || TO_CHAR(SYSDATE, 'YYYYMMDD-') || LPAD(SEQ_PRODUCER_PK.NEXTVAL, 6, '0'), 'Charles Wood)</v>
      </c>
    </row>
    <row r="9" spans="1:7" x14ac:dyDescent="0.3">
      <c r="A9" s="9" t="s">
        <v>608</v>
      </c>
      <c r="B9" t="s">
        <v>158</v>
      </c>
      <c r="C9">
        <f t="shared" si="0"/>
        <v>8</v>
      </c>
      <c r="G9" t="str">
        <f t="shared" si="1"/>
        <v>('PD-' || TO_CHAR(SYSDATE, 'YYYYMMDD-') || LPAD(SEQ_PRODUCER_PK.NEXTVAL, 6, '0'), '요시하라 타츠야)</v>
      </c>
    </row>
    <row r="10" spans="1:7" x14ac:dyDescent="0.3">
      <c r="A10" s="9" t="s">
        <v>610</v>
      </c>
      <c r="B10" t="s">
        <v>159</v>
      </c>
      <c r="C10">
        <f t="shared" si="0"/>
        <v>6</v>
      </c>
      <c r="G10" t="str">
        <f t="shared" si="1"/>
        <v>('PD-' || TO_CHAR(SYSDATE, 'YYYYMMDD-') || LPAD(SEQ_PRODUCER_PK.NEXTVAL, 6, '0'), '세코 히로시)</v>
      </c>
    </row>
    <row r="11" spans="1:7" x14ac:dyDescent="0.3">
      <c r="A11" s="9" t="s">
        <v>612</v>
      </c>
      <c r="B11" t="s">
        <v>168</v>
      </c>
      <c r="C11">
        <f t="shared" si="0"/>
        <v>13</v>
      </c>
      <c r="G11" t="str">
        <f t="shared" si="1"/>
        <v>('PD-' || TO_CHAR(SYSDATE, 'YYYYMMDD-') || LPAD(SEQ_PRODUCER_PK.NEXTVAL, 6, '0'), 'John De Bello)</v>
      </c>
    </row>
    <row r="12" spans="1:7" x14ac:dyDescent="0.3">
      <c r="A12" s="9" t="s">
        <v>615</v>
      </c>
      <c r="B12" t="s">
        <v>179</v>
      </c>
      <c r="C12">
        <f t="shared" si="0"/>
        <v>12</v>
      </c>
      <c r="G12" t="str">
        <f t="shared" si="1"/>
        <v>('PD-' || TO_CHAR(SYSDATE, 'YYYYMMDD-') || LPAD(SEQ_PRODUCER_PK.NEXTVAL, 6, '0'), 'Costa Dillon)</v>
      </c>
    </row>
    <row r="13" spans="1:7" x14ac:dyDescent="0.3">
      <c r="A13" s="9" t="s">
        <v>617</v>
      </c>
      <c r="B13" t="s">
        <v>180</v>
      </c>
      <c r="C13">
        <f t="shared" si="0"/>
        <v>13</v>
      </c>
      <c r="G13" t="str">
        <f t="shared" si="1"/>
        <v>('PD-' || TO_CHAR(SYSDATE, 'YYYYMMDD-') || LPAD(SEQ_PRODUCER_PK.NEXTVAL, 6, '0'), 'Rick Rockwell)</v>
      </c>
    </row>
    <row r="14" spans="1:7" x14ac:dyDescent="0.3">
      <c r="A14" s="9" t="s">
        <v>619</v>
      </c>
      <c r="B14" t="s">
        <v>163</v>
      </c>
      <c r="C14">
        <f t="shared" si="0"/>
        <v>16</v>
      </c>
      <c r="G14" t="str">
        <f t="shared" si="1"/>
        <v>('PD-' || TO_CHAR(SYSDATE, 'YYYYMMDD-') || LPAD(SEQ_PRODUCER_PK.NEXTVAL, 6, '0'), 'J. Stephen Peace)</v>
      </c>
    </row>
    <row r="15" spans="1:7" x14ac:dyDescent="0.3">
      <c r="A15" s="9" t="s">
        <v>628</v>
      </c>
      <c r="B15" t="s">
        <v>223</v>
      </c>
      <c r="C15">
        <f t="shared" si="0"/>
        <v>5</v>
      </c>
      <c r="G15" t="str">
        <f t="shared" si="1"/>
        <v>('PD-' || TO_CHAR(SYSDATE, 'YYYYMMDD-') || LPAD(SEQ_PRODUCER_PK.NEXTVAL, 6, '0'), '샘 멘데스)</v>
      </c>
    </row>
    <row r="16" spans="1:7" x14ac:dyDescent="0.3">
      <c r="A16" s="9" t="s">
        <v>631</v>
      </c>
      <c r="B16" t="s">
        <v>222</v>
      </c>
      <c r="C16">
        <f t="shared" si="0"/>
        <v>20</v>
      </c>
      <c r="G16" t="str">
        <f t="shared" si="1"/>
        <v>('PD-' || TO_CHAR(SYSDATE, 'YYYYMMDD-') || LPAD(SEQ_PRODUCER_PK.NEXTVAL, 6, '0'), 'Krysty Wilson-Cairns)</v>
      </c>
    </row>
    <row r="17" spans="1:7" x14ac:dyDescent="0.3">
      <c r="A17" s="9" t="s">
        <v>633</v>
      </c>
      <c r="B17" t="s">
        <v>242</v>
      </c>
      <c r="C17">
        <f t="shared" si="0"/>
        <v>8</v>
      </c>
      <c r="G17" t="str">
        <f t="shared" si="1"/>
        <v>('PD-' || TO_CHAR(SYSDATE, 'YYYYMMDD-') || LPAD(SEQ_PRODUCER_PK.NEXTVAL, 6, '0'), '크리스토퍼 놀란)</v>
      </c>
    </row>
    <row r="18" spans="1:7" x14ac:dyDescent="0.3">
      <c r="A18" s="9" t="s">
        <v>636</v>
      </c>
      <c r="B18" t="s">
        <v>261</v>
      </c>
      <c r="C18">
        <f t="shared" si="0"/>
        <v>8</v>
      </c>
      <c r="G18" t="str">
        <f t="shared" si="1"/>
        <v>('PD-' || TO_CHAR(SYSDATE, 'YYYYMMDD-') || LPAD(SEQ_PRODUCER_PK.NEXTVAL, 6, '0'), '채드 스타헬스키)</v>
      </c>
    </row>
    <row r="19" spans="1:7" x14ac:dyDescent="0.3">
      <c r="A19" s="9" t="s">
        <v>638</v>
      </c>
      <c r="B19" t="s">
        <v>262</v>
      </c>
      <c r="C19">
        <f t="shared" si="0"/>
        <v>13</v>
      </c>
      <c r="G19" t="str">
        <f t="shared" si="1"/>
        <v>('PD-' || TO_CHAR(SYSDATE, 'YYYYMMDD-') || LPAD(SEQ_PRODUCER_PK.NEXTVAL, 6, '0'), 'Derek Kolstad)</v>
      </c>
    </row>
    <row r="20" spans="1:7" x14ac:dyDescent="0.3">
      <c r="A20" s="9" t="s">
        <v>621</v>
      </c>
      <c r="B20" t="s">
        <v>292</v>
      </c>
      <c r="C20">
        <f t="shared" si="0"/>
        <v>8</v>
      </c>
      <c r="G20" t="str">
        <f t="shared" si="1"/>
        <v>('PD-' || TO_CHAR(SYSDATE, 'YYYYMMDD-') || LPAD(SEQ_PRODUCER_PK.NEXTVAL, 6, '0'), '쿠엔틴 타란티노)</v>
      </c>
    </row>
    <row r="21" spans="1:7" x14ac:dyDescent="0.3">
      <c r="A21" s="9" t="s">
        <v>624</v>
      </c>
      <c r="B21" t="s">
        <v>293</v>
      </c>
      <c r="C21">
        <f t="shared" si="0"/>
        <v>8</v>
      </c>
      <c r="G21" t="str">
        <f t="shared" si="1"/>
        <v>('PD-' || TO_CHAR(SYSDATE, 'YYYYMMDD-') || LPAD(SEQ_PRODUCER_PK.NEXTVAL, 6, '0'), '샘 해그레이브즈)</v>
      </c>
    </row>
    <row r="22" spans="1:7" x14ac:dyDescent="0.3">
      <c r="A22" s="9" t="s">
        <v>626</v>
      </c>
      <c r="B22" t="s">
        <v>294</v>
      </c>
      <c r="C22">
        <f t="shared" si="0"/>
        <v>4</v>
      </c>
      <c r="G22" t="str">
        <f t="shared" si="1"/>
        <v>('PD-' || TO_CHAR(SYSDATE, 'YYYYMMDD-') || LPAD(SEQ_PRODUCER_PK.NEXTVAL, 6, '0'), '조 루소)</v>
      </c>
    </row>
    <row r="23" spans="1:7" x14ac:dyDescent="0.3">
      <c r="C23">
        <f>MAX(C2:C22)</f>
        <v>20</v>
      </c>
      <c r="E23" t="s">
        <v>298</v>
      </c>
    </row>
    <row r="24" spans="1:7" x14ac:dyDescent="0.3">
      <c r="E24" t="s">
        <v>299</v>
      </c>
    </row>
    <row r="25" spans="1:7" x14ac:dyDescent="0.3">
      <c r="E25" t="s">
        <v>300</v>
      </c>
    </row>
    <row r="26" spans="1:7" x14ac:dyDescent="0.3">
      <c r="E26" t="s">
        <v>301</v>
      </c>
    </row>
    <row r="27" spans="1:7" x14ac:dyDescent="0.3">
      <c r="E27" t="s">
        <v>302</v>
      </c>
    </row>
    <row r="28" spans="1:7" x14ac:dyDescent="0.3">
      <c r="E28" t="s">
        <v>303</v>
      </c>
    </row>
    <row r="29" spans="1:7" x14ac:dyDescent="0.3">
      <c r="E29" t="s">
        <v>304</v>
      </c>
    </row>
    <row r="30" spans="1:7" x14ac:dyDescent="0.3">
      <c r="E30" t="s">
        <v>305</v>
      </c>
    </row>
    <row r="31" spans="1:7" x14ac:dyDescent="0.3">
      <c r="E31" t="s">
        <v>306</v>
      </c>
    </row>
    <row r="32" spans="1:7" x14ac:dyDescent="0.3">
      <c r="E32" t="s">
        <v>307</v>
      </c>
    </row>
    <row r="33" spans="5:5" x14ac:dyDescent="0.3">
      <c r="E33" t="s">
        <v>318</v>
      </c>
    </row>
    <row r="34" spans="5:5" x14ac:dyDescent="0.3">
      <c r="E34" t="s">
        <v>308</v>
      </c>
    </row>
    <row r="35" spans="5:5" x14ac:dyDescent="0.3">
      <c r="E35" t="s">
        <v>309</v>
      </c>
    </row>
    <row r="36" spans="5:5" x14ac:dyDescent="0.3">
      <c r="E36" t="s">
        <v>310</v>
      </c>
    </row>
    <row r="37" spans="5:5" x14ac:dyDescent="0.3">
      <c r="E37" t="s">
        <v>311</v>
      </c>
    </row>
    <row r="38" spans="5:5" x14ac:dyDescent="0.3">
      <c r="E38" t="s">
        <v>312</v>
      </c>
    </row>
    <row r="39" spans="5:5" x14ac:dyDescent="0.3">
      <c r="E39" t="s">
        <v>313</v>
      </c>
    </row>
    <row r="40" spans="5:5" x14ac:dyDescent="0.3">
      <c r="E40" t="s">
        <v>314</v>
      </c>
    </row>
    <row r="41" spans="5:5" x14ac:dyDescent="0.3">
      <c r="E41" t="s">
        <v>315</v>
      </c>
    </row>
    <row r="42" spans="5:5" x14ac:dyDescent="0.3">
      <c r="E42" t="s">
        <v>316</v>
      </c>
    </row>
    <row r="43" spans="5:5" x14ac:dyDescent="0.3">
      <c r="E43" t="s">
        <v>317</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EB663-BE78-4641-BA77-7EC1D7ACB220}">
  <dimension ref="A1:C35"/>
  <sheetViews>
    <sheetView topLeftCell="A7" workbookViewId="0">
      <selection activeCell="E34" sqref="E34"/>
    </sheetView>
  </sheetViews>
  <sheetFormatPr defaultRowHeight="16.5" x14ac:dyDescent="0.3"/>
  <cols>
    <col min="1" max="1" width="20.75" style="4" bestFit="1" customWidth="1"/>
    <col min="2" max="2" width="21.125" style="3" bestFit="1" customWidth="1"/>
    <col min="3" max="3" width="18.75" style="3" customWidth="1"/>
  </cols>
  <sheetData>
    <row r="1" spans="1:3" x14ac:dyDescent="0.3">
      <c r="A1" s="4" t="s">
        <v>22</v>
      </c>
      <c r="B1" s="3" t="s">
        <v>15</v>
      </c>
      <c r="C1" s="3" t="s">
        <v>13</v>
      </c>
    </row>
    <row r="2" spans="1:3" x14ac:dyDescent="0.3">
      <c r="A2" s="4" t="s">
        <v>639</v>
      </c>
      <c r="B2" s="3" t="s">
        <v>409</v>
      </c>
      <c r="C2" s="3" t="s">
        <v>640</v>
      </c>
    </row>
    <row r="3" spans="1:3" x14ac:dyDescent="0.3">
      <c r="A3" s="4" t="s">
        <v>641</v>
      </c>
      <c r="B3" s="3" t="s">
        <v>409</v>
      </c>
      <c r="C3" s="3" t="s">
        <v>642</v>
      </c>
    </row>
    <row r="4" spans="1:3" x14ac:dyDescent="0.3">
      <c r="A4" s="4" t="s">
        <v>643</v>
      </c>
      <c r="B4" s="3" t="s">
        <v>409</v>
      </c>
      <c r="C4" s="3" t="s">
        <v>644</v>
      </c>
    </row>
    <row r="5" spans="1:3" x14ac:dyDescent="0.3">
      <c r="A5" s="4" t="s">
        <v>645</v>
      </c>
      <c r="B5" s="3" t="s">
        <v>409</v>
      </c>
      <c r="C5" s="3" t="s">
        <v>646</v>
      </c>
    </row>
    <row r="6" spans="1:3" x14ac:dyDescent="0.3">
      <c r="A6" s="4" t="s">
        <v>647</v>
      </c>
      <c r="B6" s="3" t="s">
        <v>410</v>
      </c>
      <c r="C6" s="3" t="s">
        <v>642</v>
      </c>
    </row>
    <row r="7" spans="1:3" x14ac:dyDescent="0.3">
      <c r="A7" s="4" t="s">
        <v>648</v>
      </c>
      <c r="B7" s="3" t="s">
        <v>410</v>
      </c>
      <c r="C7" s="3" t="s">
        <v>644</v>
      </c>
    </row>
    <row r="8" spans="1:3" x14ac:dyDescent="0.3">
      <c r="A8" s="4" t="s">
        <v>649</v>
      </c>
      <c r="B8" s="3" t="s">
        <v>410</v>
      </c>
      <c r="C8" s="3" t="s">
        <v>650</v>
      </c>
    </row>
    <row r="9" spans="1:3" x14ac:dyDescent="0.3">
      <c r="A9" s="4" t="s">
        <v>651</v>
      </c>
      <c r="B9" s="3" t="s">
        <v>411</v>
      </c>
      <c r="C9" s="3" t="s">
        <v>652</v>
      </c>
    </row>
    <row r="10" spans="1:3" x14ac:dyDescent="0.3">
      <c r="A10" s="4" t="s">
        <v>653</v>
      </c>
      <c r="B10" s="3" t="s">
        <v>411</v>
      </c>
      <c r="C10" s="3" t="s">
        <v>640</v>
      </c>
    </row>
    <row r="11" spans="1:3" x14ac:dyDescent="0.3">
      <c r="A11" s="4" t="s">
        <v>654</v>
      </c>
      <c r="B11" s="3" t="s">
        <v>411</v>
      </c>
      <c r="C11" s="3" t="s">
        <v>642</v>
      </c>
    </row>
    <row r="12" spans="1:3" x14ac:dyDescent="0.3">
      <c r="A12" s="4" t="s">
        <v>655</v>
      </c>
      <c r="B12" s="3" t="s">
        <v>411</v>
      </c>
      <c r="C12" s="3" t="s">
        <v>650</v>
      </c>
    </row>
    <row r="13" spans="1:3" x14ac:dyDescent="0.3">
      <c r="A13" s="4" t="s">
        <v>656</v>
      </c>
      <c r="B13" s="3" t="s">
        <v>411</v>
      </c>
      <c r="C13" s="3" t="s">
        <v>646</v>
      </c>
    </row>
    <row r="14" spans="1:3" x14ac:dyDescent="0.3">
      <c r="A14" s="4" t="s">
        <v>657</v>
      </c>
      <c r="B14" s="3" t="s">
        <v>412</v>
      </c>
      <c r="C14" s="3" t="s">
        <v>646</v>
      </c>
    </row>
    <row r="15" spans="1:3" x14ac:dyDescent="0.3">
      <c r="A15" s="4" t="s">
        <v>658</v>
      </c>
      <c r="B15" s="3" t="s">
        <v>412</v>
      </c>
      <c r="C15" s="3" t="s">
        <v>659</v>
      </c>
    </row>
    <row r="16" spans="1:3" x14ac:dyDescent="0.3">
      <c r="A16" s="4" t="s">
        <v>660</v>
      </c>
      <c r="B16" s="3" t="s">
        <v>412</v>
      </c>
      <c r="C16" s="3" t="s">
        <v>661</v>
      </c>
    </row>
    <row r="17" spans="1:3" x14ac:dyDescent="0.3">
      <c r="A17" s="4" t="s">
        <v>662</v>
      </c>
      <c r="B17" s="3" t="s">
        <v>412</v>
      </c>
      <c r="C17" s="3" t="s">
        <v>640</v>
      </c>
    </row>
    <row r="18" spans="1:3" x14ac:dyDescent="0.3">
      <c r="A18" s="4" t="s">
        <v>663</v>
      </c>
      <c r="B18" s="3" t="s">
        <v>413</v>
      </c>
      <c r="C18" s="3" t="s">
        <v>644</v>
      </c>
    </row>
    <row r="19" spans="1:3" x14ac:dyDescent="0.3">
      <c r="A19" s="4" t="s">
        <v>664</v>
      </c>
      <c r="B19" s="3" t="s">
        <v>413</v>
      </c>
      <c r="C19" s="3" t="s">
        <v>665</v>
      </c>
    </row>
    <row r="20" spans="1:3" x14ac:dyDescent="0.3">
      <c r="A20" s="4" t="s">
        <v>666</v>
      </c>
      <c r="B20" s="3" t="s">
        <v>413</v>
      </c>
      <c r="C20" s="3" t="s">
        <v>667</v>
      </c>
    </row>
    <row r="21" spans="1:3" x14ac:dyDescent="0.3">
      <c r="A21" s="4" t="s">
        <v>668</v>
      </c>
      <c r="B21" s="3" t="s">
        <v>414</v>
      </c>
      <c r="C21" s="3" t="s">
        <v>669</v>
      </c>
    </row>
    <row r="22" spans="1:3" x14ac:dyDescent="0.3">
      <c r="A22" s="4" t="s">
        <v>670</v>
      </c>
      <c r="B22" s="3" t="s">
        <v>414</v>
      </c>
      <c r="C22" s="3" t="s">
        <v>671</v>
      </c>
    </row>
    <row r="23" spans="1:3" x14ac:dyDescent="0.3">
      <c r="A23" s="4" t="s">
        <v>672</v>
      </c>
      <c r="B23" s="3" t="s">
        <v>414</v>
      </c>
      <c r="C23" s="3" t="s">
        <v>673</v>
      </c>
    </row>
    <row r="24" spans="1:3" x14ac:dyDescent="0.3">
      <c r="A24" s="4" t="s">
        <v>674</v>
      </c>
      <c r="B24" s="3" t="s">
        <v>415</v>
      </c>
      <c r="C24" s="3" t="s">
        <v>659</v>
      </c>
    </row>
    <row r="25" spans="1:3" x14ac:dyDescent="0.3">
      <c r="A25" s="4" t="s">
        <v>675</v>
      </c>
      <c r="B25" s="3" t="s">
        <v>415</v>
      </c>
      <c r="C25" s="3" t="s">
        <v>671</v>
      </c>
    </row>
    <row r="26" spans="1:3" x14ac:dyDescent="0.3">
      <c r="A26" s="4" t="s">
        <v>676</v>
      </c>
      <c r="B26" s="3" t="s">
        <v>416</v>
      </c>
      <c r="C26" s="3" t="s">
        <v>673</v>
      </c>
    </row>
    <row r="27" spans="1:3" x14ac:dyDescent="0.3">
      <c r="A27" s="4" t="s">
        <v>677</v>
      </c>
      <c r="B27" s="3" t="s">
        <v>416</v>
      </c>
      <c r="C27" s="3" t="s">
        <v>678</v>
      </c>
    </row>
    <row r="28" spans="1:3" x14ac:dyDescent="0.3">
      <c r="A28" s="4" t="s">
        <v>679</v>
      </c>
      <c r="B28" s="3" t="s">
        <v>416</v>
      </c>
      <c r="C28" s="3" t="s">
        <v>669</v>
      </c>
    </row>
    <row r="29" spans="1:3" x14ac:dyDescent="0.3">
      <c r="A29" s="4" t="s">
        <v>680</v>
      </c>
      <c r="B29" s="3" t="s">
        <v>416</v>
      </c>
      <c r="C29" s="3" t="s">
        <v>659</v>
      </c>
    </row>
    <row r="30" spans="1:3" x14ac:dyDescent="0.3">
      <c r="A30" s="4" t="s">
        <v>681</v>
      </c>
      <c r="B30" s="3" t="s">
        <v>416</v>
      </c>
      <c r="C30" s="3" t="s">
        <v>650</v>
      </c>
    </row>
    <row r="31" spans="1:3" x14ac:dyDescent="0.3">
      <c r="A31" s="4" t="s">
        <v>682</v>
      </c>
      <c r="B31" s="3" t="s">
        <v>417</v>
      </c>
      <c r="C31" s="3" t="s">
        <v>659</v>
      </c>
    </row>
    <row r="32" spans="1:3" x14ac:dyDescent="0.3">
      <c r="A32" s="4" t="s">
        <v>683</v>
      </c>
      <c r="B32" s="3" t="s">
        <v>417</v>
      </c>
      <c r="C32" s="3" t="s">
        <v>667</v>
      </c>
    </row>
    <row r="33" spans="1:3" x14ac:dyDescent="0.3">
      <c r="A33" s="4" t="s">
        <v>684</v>
      </c>
      <c r="B33" s="3" t="s">
        <v>417</v>
      </c>
      <c r="C33" s="3" t="s">
        <v>650</v>
      </c>
    </row>
    <row r="34" spans="1:3" x14ac:dyDescent="0.3">
      <c r="A34" s="4" t="s">
        <v>685</v>
      </c>
      <c r="B34" s="3" t="s">
        <v>418</v>
      </c>
      <c r="C34" s="3" t="s">
        <v>659</v>
      </c>
    </row>
    <row r="35" spans="1:3" x14ac:dyDescent="0.3">
      <c r="A35" s="4" t="s">
        <v>686</v>
      </c>
      <c r="B35" s="3" t="s">
        <v>418</v>
      </c>
      <c r="C35" s="3" t="s">
        <v>671</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ABE86-CD1C-4678-81A5-238BC35DA073}">
  <dimension ref="A1:C18"/>
  <sheetViews>
    <sheetView workbookViewId="0">
      <selection activeCell="C20" sqref="C20"/>
    </sheetView>
  </sheetViews>
  <sheetFormatPr defaultRowHeight="16.5" x14ac:dyDescent="0.3"/>
  <cols>
    <col min="1" max="1" width="20.25" style="2" bestFit="1" customWidth="1"/>
    <col min="2" max="2" width="11" bestFit="1" customWidth="1"/>
  </cols>
  <sheetData>
    <row r="1" spans="1:3" x14ac:dyDescent="0.3">
      <c r="A1" s="2" t="s">
        <v>13</v>
      </c>
      <c r="B1" t="s">
        <v>14</v>
      </c>
    </row>
    <row r="2" spans="1:3" x14ac:dyDescent="0.3">
      <c r="A2" s="2" t="s">
        <v>640</v>
      </c>
      <c r="B2" t="s">
        <v>9</v>
      </c>
      <c r="C2">
        <f>LEN(B2)</f>
        <v>3</v>
      </c>
    </row>
    <row r="3" spans="1:3" x14ac:dyDescent="0.3">
      <c r="A3" s="2" t="s">
        <v>642</v>
      </c>
      <c r="B3" t="s">
        <v>10</v>
      </c>
      <c r="C3">
        <f t="shared" ref="C3:C17" si="0">LEN(B3)</f>
        <v>2</v>
      </c>
    </row>
    <row r="4" spans="1:3" x14ac:dyDescent="0.3">
      <c r="A4" s="2" t="s">
        <v>644</v>
      </c>
      <c r="B4" t="s">
        <v>11</v>
      </c>
      <c r="C4">
        <f t="shared" si="0"/>
        <v>3</v>
      </c>
    </row>
    <row r="5" spans="1:3" x14ac:dyDescent="0.3">
      <c r="A5" s="2" t="s">
        <v>646</v>
      </c>
      <c r="B5" t="s">
        <v>12</v>
      </c>
      <c r="C5">
        <f t="shared" si="0"/>
        <v>5</v>
      </c>
    </row>
    <row r="6" spans="1:3" x14ac:dyDescent="0.3">
      <c r="A6" s="2" t="s">
        <v>650</v>
      </c>
      <c r="B6" t="s">
        <v>21</v>
      </c>
      <c r="C6">
        <f t="shared" si="0"/>
        <v>2</v>
      </c>
    </row>
    <row r="7" spans="1:3" x14ac:dyDescent="0.3">
      <c r="A7" s="2" t="s">
        <v>652</v>
      </c>
      <c r="B7" t="s">
        <v>42</v>
      </c>
      <c r="C7">
        <f t="shared" si="0"/>
        <v>2</v>
      </c>
    </row>
    <row r="8" spans="1:3" x14ac:dyDescent="0.3">
      <c r="A8" s="2" t="s">
        <v>659</v>
      </c>
      <c r="B8" t="s">
        <v>283</v>
      </c>
      <c r="C8">
        <f t="shared" si="0"/>
        <v>2</v>
      </c>
    </row>
    <row r="9" spans="1:3" x14ac:dyDescent="0.3">
      <c r="A9" s="2" t="s">
        <v>661</v>
      </c>
      <c r="B9" t="s">
        <v>284</v>
      </c>
      <c r="C9">
        <f t="shared" si="0"/>
        <v>3</v>
      </c>
    </row>
    <row r="10" spans="1:3" x14ac:dyDescent="0.3">
      <c r="A10" s="2" t="s">
        <v>665</v>
      </c>
      <c r="B10" t="s">
        <v>285</v>
      </c>
      <c r="C10">
        <f t="shared" si="0"/>
        <v>2</v>
      </c>
    </row>
    <row r="11" spans="1:3" x14ac:dyDescent="0.3">
      <c r="A11" s="2" t="s">
        <v>667</v>
      </c>
      <c r="B11" t="s">
        <v>286</v>
      </c>
      <c r="C11">
        <f t="shared" si="0"/>
        <v>2</v>
      </c>
    </row>
    <row r="12" spans="1:3" x14ac:dyDescent="0.3">
      <c r="A12" s="2" t="s">
        <v>669</v>
      </c>
      <c r="B12" t="s">
        <v>287</v>
      </c>
      <c r="C12">
        <f t="shared" si="0"/>
        <v>3</v>
      </c>
    </row>
    <row r="13" spans="1:3" x14ac:dyDescent="0.3">
      <c r="A13" s="2" t="s">
        <v>671</v>
      </c>
      <c r="B13" t="s">
        <v>288</v>
      </c>
      <c r="C13">
        <f t="shared" si="0"/>
        <v>3</v>
      </c>
    </row>
    <row r="14" spans="1:3" x14ac:dyDescent="0.3">
      <c r="A14" s="2" t="s">
        <v>673</v>
      </c>
      <c r="B14" t="s">
        <v>289</v>
      </c>
      <c r="C14">
        <f t="shared" si="0"/>
        <v>2</v>
      </c>
    </row>
    <row r="15" spans="1:3" x14ac:dyDescent="0.3">
      <c r="A15" s="2" t="s">
        <v>678</v>
      </c>
      <c r="B15" t="s">
        <v>290</v>
      </c>
      <c r="C15">
        <f t="shared" si="0"/>
        <v>2</v>
      </c>
    </row>
    <row r="16" spans="1:3" x14ac:dyDescent="0.3">
      <c r="A16" s="2" t="s">
        <v>687</v>
      </c>
      <c r="B16" t="s">
        <v>291</v>
      </c>
      <c r="C16">
        <f t="shared" si="0"/>
        <v>2</v>
      </c>
    </row>
    <row r="17" spans="1:3" x14ac:dyDescent="0.3">
      <c r="A17" s="2" t="s">
        <v>688</v>
      </c>
      <c r="B17" t="s">
        <v>295</v>
      </c>
      <c r="C17">
        <f t="shared" si="0"/>
        <v>7</v>
      </c>
    </row>
    <row r="18" spans="1:3" x14ac:dyDescent="0.3">
      <c r="C18">
        <f>MAX(C3:C17)</f>
        <v>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영화</vt:lpstr>
      <vt:lpstr>출연진</vt:lpstr>
      <vt:lpstr>배우</vt:lpstr>
      <vt:lpstr>제작</vt:lpstr>
      <vt:lpstr>제작진</vt:lpstr>
      <vt:lpstr>장르</vt:lpstr>
      <vt:lpstr>분류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211-13</dc:creator>
  <cp:lastModifiedBy>211-13</cp:lastModifiedBy>
  <dcterms:created xsi:type="dcterms:W3CDTF">2026-02-26T00:22:58Z</dcterms:created>
  <dcterms:modified xsi:type="dcterms:W3CDTF">2026-02-27T05:59:38Z</dcterms:modified>
</cp:coreProperties>
</file>